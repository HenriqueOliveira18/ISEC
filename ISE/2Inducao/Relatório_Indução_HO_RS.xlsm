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ls" ContentType="application/vnd.ms-exce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07" codeName="{00000000-0000-0000-0000-000000000000}"/>
  <workbookPr saveExternalLinkValues="0" codeName="EsteLivro" defaultThemeVersion="166925"/>
  <mc:AlternateContent xmlns:mc="http://schemas.openxmlformats.org/markup-compatibility/2006">
    <mc:Choice Requires="x15">
      <x15ac:absPath xmlns:x15ac="http://schemas.microsoft.com/office/spreadsheetml/2010/11/ac" url="D:\1º semestre 3º ano\Rafael\ISE\ISE Pratica\2Inducao\"/>
    </mc:Choice>
  </mc:AlternateContent>
  <xr:revisionPtr revIDLastSave="0" documentId="13_ncr:1_{AB6ECCB5-3CF9-4B68-BC20-D139A0FBE5B2}" xr6:coauthVersionLast="47" xr6:coauthVersionMax="47" xr10:uidLastSave="{00000000-0000-0000-0000-000000000000}"/>
  <bookViews>
    <workbookView xWindow="-1000" yWindow="3660" windowWidth="2370" windowHeight="560" xr2:uid="{00000000-000D-0000-FFFF-FFFF00000000}"/>
  </bookViews>
  <sheets>
    <sheet name="Relatório" sheetId="1" r:id="rId1"/>
    <sheet name="EllipticAddIn" sheetId="4" r:id="rId2"/>
  </sheets>
  <externalReferences>
    <externalReference r:id="rId3"/>
  </externalReferences>
  <definedNames>
    <definedName name="__ri1">Relatório!$B$6</definedName>
    <definedName name="__ri2">Relatório!$B$11</definedName>
    <definedName name="_R1_">Relatório!$B$16</definedName>
    <definedName name="_re1">Relatório!$B$5</definedName>
    <definedName name="_re2">Relatório!$B$10</definedName>
    <definedName name="a_1">Relatório!$E$5</definedName>
    <definedName name="a_2">Relatório!$E$10</definedName>
    <definedName name="_xlnm.Print_Area" localSheetId="0">Relatório!$A$1:$J$155</definedName>
    <definedName name="c_1">Relatório!$E$6</definedName>
    <definedName name="c_2">Relatório!$E$11</definedName>
    <definedName name="meioPi">Relatório!$M$49</definedName>
    <definedName name="mu0">Relatório!$N$17</definedName>
    <definedName name="N_1">Relatório!$B$4</definedName>
    <definedName name="N_2">Relatório!$B$9</definedName>
    <definedName name="p">Relatório!$N$19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49" i="1" l="1"/>
  <c r="B5" i="1"/>
  <c r="B6" i="1"/>
  <c r="B11" i="1"/>
  <c r="B10" i="1"/>
  <c r="E50" i="1"/>
  <c r="E51" i="1"/>
  <c r="E52" i="1"/>
  <c r="E49" i="1"/>
  <c r="D50" i="1"/>
  <c r="D51" i="1"/>
  <c r="D52" i="1"/>
  <c r="D49" i="1"/>
  <c r="E20" i="1"/>
  <c r="E21" i="1"/>
  <c r="E22" i="1"/>
  <c r="E19" i="1"/>
  <c r="D20" i="1"/>
  <c r="D21" i="1"/>
  <c r="D22" i="1"/>
  <c r="D19" i="1"/>
  <c r="E11" i="1"/>
  <c r="E10" i="1"/>
  <c r="E6" i="1"/>
  <c r="D24" i="4"/>
  <c r="B26" i="4"/>
  <c r="B27" i="4"/>
  <c r="M49" i="1"/>
  <c r="N17" i="1"/>
  <c r="F19" i="1"/>
  <c r="H19" i="1"/>
  <c r="F49" i="1"/>
  <c r="H49" i="1"/>
  <c r="D113" i="1"/>
  <c r="D112" i="1"/>
  <c r="D111" i="1"/>
  <c r="D110" i="1"/>
  <c r="D109" i="1"/>
  <c r="D108" i="1"/>
  <c r="D107" i="1"/>
  <c r="D106" i="1"/>
  <c r="D105" i="1"/>
  <c r="D104" i="1"/>
  <c r="I8" i="1"/>
  <c r="E27" i="4"/>
  <c r="E26" i="4"/>
  <c r="E5" i="1"/>
  <c r="G19" i="1"/>
  <c r="I19" i="1"/>
  <c r="J19" i="1"/>
  <c r="M131" i="1"/>
  <c r="M126" i="1"/>
  <c r="M104" i="1"/>
  <c r="L104" i="1"/>
  <c r="M111" i="1"/>
  <c r="M129" i="1"/>
  <c r="L129" i="1"/>
  <c r="M117" i="1"/>
  <c r="M133" i="1"/>
  <c r="L133" i="1"/>
  <c r="M115" i="1"/>
  <c r="M114" i="1"/>
  <c r="M127" i="1"/>
  <c r="L127" i="1"/>
  <c r="M121" i="1"/>
  <c r="M107" i="1"/>
  <c r="L107" i="1"/>
  <c r="M118" i="1"/>
  <c r="M110" i="1"/>
  <c r="L110" i="1"/>
  <c r="M123" i="1"/>
  <c r="M105" i="1"/>
  <c r="L105" i="1"/>
  <c r="M125" i="1"/>
  <c r="M113" i="1"/>
  <c r="M122" i="1"/>
  <c r="M106" i="1"/>
  <c r="L106" i="1"/>
  <c r="M109" i="1"/>
  <c r="L49" i="1"/>
  <c r="B80" i="1"/>
  <c r="R123" i="1"/>
  <c r="R119" i="1"/>
  <c r="R115" i="1"/>
  <c r="R111" i="1"/>
  <c r="R107" i="1"/>
  <c r="M120" i="1"/>
  <c r="M108" i="1"/>
  <c r="L108" i="1"/>
  <c r="R122" i="1"/>
  <c r="R114" i="1"/>
  <c r="R110" i="1"/>
  <c r="R106" i="1"/>
  <c r="M124" i="1"/>
  <c r="M116" i="1"/>
  <c r="L116" i="1"/>
  <c r="R118" i="1"/>
  <c r="R124" i="1"/>
  <c r="R121" i="1"/>
  <c r="R117" i="1"/>
  <c r="R113" i="1"/>
  <c r="R109" i="1"/>
  <c r="R105" i="1"/>
  <c r="M132" i="1"/>
  <c r="L132" i="1"/>
  <c r="M128" i="1"/>
  <c r="R120" i="1"/>
  <c r="R116" i="1"/>
  <c r="R112" i="1"/>
  <c r="R108" i="1"/>
  <c r="R104" i="1"/>
  <c r="M112" i="1"/>
  <c r="M134" i="1"/>
  <c r="L134" i="1"/>
  <c r="M119" i="1"/>
  <c r="N19" i="1"/>
  <c r="M130" i="1"/>
  <c r="L131" i="1"/>
  <c r="L119" i="1"/>
  <c r="L121" i="1"/>
  <c r="L109" i="1"/>
  <c r="L117" i="1"/>
  <c r="L123" i="1"/>
  <c r="L114" i="1"/>
  <c r="L128" i="1"/>
  <c r="L111" i="1"/>
  <c r="L120" i="1"/>
  <c r="L118" i="1"/>
  <c r="L126" i="1"/>
  <c r="L130" i="1"/>
  <c r="L125" i="1"/>
  <c r="L115" i="1"/>
  <c r="L113" i="1"/>
  <c r="L112" i="1"/>
  <c r="L122" i="1"/>
  <c r="L124" i="1"/>
  <c r="Q119" i="1"/>
  <c r="Q110" i="1"/>
  <c r="Q118" i="1"/>
  <c r="Q113" i="1"/>
  <c r="Q108" i="1"/>
  <c r="I49" i="1"/>
  <c r="Q115" i="1"/>
  <c r="Q106" i="1"/>
  <c r="Q124" i="1"/>
  <c r="Q109" i="1"/>
  <c r="Q120" i="1"/>
  <c r="Q104" i="1"/>
  <c r="Q112" i="1"/>
  <c r="Q111" i="1"/>
  <c r="Q122" i="1"/>
  <c r="Q121" i="1"/>
  <c r="Q105" i="1"/>
  <c r="Q116" i="1"/>
  <c r="Q123" i="1"/>
  <c r="Q107" i="1"/>
  <c r="Q114" i="1"/>
  <c r="Q117" i="1"/>
  <c r="P117" i="1"/>
  <c r="P114" i="1"/>
  <c r="P107" i="1"/>
  <c r="P123" i="1"/>
  <c r="P116" i="1"/>
  <c r="P105" i="1"/>
  <c r="P121" i="1"/>
  <c r="P122" i="1"/>
  <c r="P111" i="1"/>
  <c r="P112" i="1"/>
  <c r="P104" i="1"/>
  <c r="P120" i="1"/>
  <c r="P109" i="1"/>
  <c r="P124" i="1"/>
  <c r="P106" i="1"/>
  <c r="P115" i="1"/>
  <c r="J49" i="1"/>
  <c r="A80" i="1"/>
  <c r="C80" i="1"/>
  <c r="P108" i="1"/>
  <c r="P113" i="1"/>
  <c r="P118" i="1"/>
  <c r="P110" i="1"/>
  <c r="P11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Paulo Fonte</author>
  </authors>
  <commentList>
    <comment ref="I49" authorId="0" shapeId="0" xr:uid="{00000000-0006-0000-0000-000001000000}">
      <text>
        <r>
          <rPr>
            <b/>
            <sz val="8"/>
            <color indexed="81"/>
            <rFont val="Tahoma"/>
            <family val="2"/>
          </rPr>
          <t>Paulo Fonte:</t>
        </r>
        <r>
          <rPr>
            <sz val="8"/>
            <color indexed="81"/>
            <rFont val="Tahoma"/>
            <family val="2"/>
          </rPr>
          <t xml:space="preserve">
Se não der aqui nenhum resultado provavelmente esquceu-se de instalar o pacote EllipticAddIn.xls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Jon Wittwer</author>
  </authors>
  <commentList>
    <comment ref="I2" authorId="0" shapeId="0" xr:uid="{00000000-0006-0000-0100-000001000000}">
      <text>
        <r>
          <rPr>
            <b/>
            <sz val="8"/>
            <color indexed="81"/>
            <rFont val="Tahoma"/>
            <family val="2"/>
          </rPr>
          <t>Disclaimer</t>
        </r>
        <r>
          <rPr>
            <sz val="8"/>
            <color indexed="81"/>
            <rFont val="Tahoma"/>
            <family val="2"/>
          </rPr>
          <t xml:space="preserve">
No Liability is accepted by Jon Wittwer for any direct, indirect, consequential or incidental loss or damage arising out of the software use or any mistakes and negligence in developing this software.  The organization or person using the software bears all risks and responsibility for the quality and performance of the software.</t>
        </r>
      </text>
    </comment>
  </commentList>
</comments>
</file>

<file path=xl/sharedStrings.xml><?xml version="1.0" encoding="utf-8"?>
<sst xmlns="http://schemas.openxmlformats.org/spreadsheetml/2006/main" count="118" uniqueCount="88">
  <si>
    <t>f (Hz)</t>
  </si>
  <si>
    <t>re1</t>
  </si>
  <si>
    <t>ri1</t>
  </si>
  <si>
    <t>b1</t>
  </si>
  <si>
    <t>re2</t>
  </si>
  <si>
    <t>ri2</t>
  </si>
  <si>
    <t>b2</t>
  </si>
  <si>
    <t>m</t>
  </si>
  <si>
    <t>R1</t>
  </si>
  <si>
    <t>Ohm</t>
  </si>
  <si>
    <t>w (rad/s)</t>
  </si>
  <si>
    <t>wL (ohm)</t>
  </si>
  <si>
    <t>pendente</t>
  </si>
  <si>
    <t>a1</t>
  </si>
  <si>
    <t>c1</t>
  </si>
  <si>
    <t>a2</t>
  </si>
  <si>
    <t>c2</t>
  </si>
  <si>
    <t>N1</t>
  </si>
  <si>
    <t>N2</t>
  </si>
  <si>
    <t>erro relativo</t>
  </si>
  <si>
    <t>Medida 3.4</t>
  </si>
  <si>
    <t>L calculado</t>
  </si>
  <si>
    <t>M
calculado</t>
  </si>
  <si>
    <t>M</t>
  </si>
  <si>
    <t>H</t>
  </si>
  <si>
    <t>T</t>
  </si>
  <si>
    <t>Medida 3.5</t>
  </si>
  <si>
    <t>z</t>
  </si>
  <si>
    <t>rho</t>
  </si>
  <si>
    <t>rho (m)</t>
  </si>
  <si>
    <t>z(m)</t>
  </si>
  <si>
    <t>f</t>
  </si>
  <si>
    <t>i1</t>
  </si>
  <si>
    <t>A</t>
  </si>
  <si>
    <t>Hz</t>
  </si>
  <si>
    <t>B(0,0)</t>
  </si>
  <si>
    <t>Medida 3.6</t>
  </si>
  <si>
    <t>&lt;v2&gt; (V)</t>
  </si>
  <si>
    <t>&lt;i1&gt; (A)</t>
  </si>
  <si>
    <t>&lt;v1&gt; (V)</t>
  </si>
  <si>
    <t>Beixo</t>
  </si>
  <si>
    <t>Bplano</t>
  </si>
  <si>
    <t>k</t>
  </si>
  <si>
    <t>Brel</t>
  </si>
  <si>
    <t>Comentário</t>
  </si>
  <si>
    <t>L</t>
  </si>
  <si>
    <t>&lt;v2&gt;/
&lt;v2(0,0)&gt; (V)</t>
  </si>
  <si>
    <t>Z12=
&lt;v2&gt;/
&lt;i1&gt;</t>
  </si>
  <si>
    <t>Medida 3.1</t>
  </si>
  <si>
    <t>Medida 3.2.1</t>
  </si>
  <si>
    <t>Medida 3.3</t>
  </si>
  <si>
    <t>Se vir 1 está OK -&gt;</t>
  </si>
  <si>
    <t>VB Functions for Elliptic Integrals</t>
  </si>
  <si>
    <t>© 2002</t>
  </si>
  <si>
    <t>Mathematics, Compliance, Bending Beams, Elliptic Integrals</t>
  </si>
  <si>
    <t>1.0</t>
  </si>
  <si>
    <t>Jon Wittwer</t>
  </si>
  <si>
    <t>REFERENCES</t>
  </si>
  <si>
    <t>Edited by M. Abramowitz and I.A. Stegun</t>
  </si>
  <si>
    <t>AMS 55</t>
  </si>
  <si>
    <t>U.S. Department of Commerce</t>
  </si>
  <si>
    <t>National Bureau of Standards, Applied Mathematics Series - 55</t>
  </si>
  <si>
    <t>HELP and an EXAMPLE</t>
  </si>
  <si>
    <t>j</t>
  </si>
  <si>
    <t>deg</t>
  </si>
  <si>
    <t>a</t>
  </si>
  <si>
    <t>Ellip_F():</t>
  </si>
  <si>
    <t>Ellip_E():</t>
  </si>
  <si>
    <r>
      <t>"k"</t>
    </r>
    <r>
      <rPr>
        <sz val="10"/>
        <rFont val="Arial"/>
        <family val="2"/>
      </rPr>
      <t xml:space="preserve"> is called the modulus and is always between 0 and 1  (0 &lt; k &lt; 1)</t>
    </r>
  </si>
  <si>
    <t>Revision History</t>
  </si>
  <si>
    <r>
      <t>T</t>
    </r>
    <r>
      <rPr>
        <b/>
        <sz val="8"/>
        <color indexed="9"/>
        <rFont val="Arial"/>
        <family val="2"/>
      </rPr>
      <t>ITLE</t>
    </r>
    <r>
      <rPr>
        <b/>
        <sz val="10"/>
        <color indexed="9"/>
        <rFont val="Arial"/>
        <family val="2"/>
      </rPr>
      <t>:</t>
    </r>
  </si>
  <si>
    <r>
      <t>R</t>
    </r>
    <r>
      <rPr>
        <b/>
        <sz val="8"/>
        <color indexed="9"/>
        <rFont val="Arial"/>
        <family val="2"/>
      </rPr>
      <t>EVISED</t>
    </r>
    <r>
      <rPr>
        <b/>
        <sz val="10"/>
        <color indexed="9"/>
        <rFont val="Arial"/>
        <family val="2"/>
      </rPr>
      <t>:</t>
    </r>
  </si>
  <si>
    <r>
      <t>S</t>
    </r>
    <r>
      <rPr>
        <b/>
        <sz val="8"/>
        <color indexed="9"/>
        <rFont val="Arial"/>
        <family val="2"/>
      </rPr>
      <t>UBJECT</t>
    </r>
    <r>
      <rPr>
        <b/>
        <sz val="10"/>
        <color indexed="9"/>
        <rFont val="Arial"/>
        <family val="2"/>
      </rPr>
      <t>:</t>
    </r>
  </si>
  <si>
    <r>
      <t>R</t>
    </r>
    <r>
      <rPr>
        <b/>
        <sz val="8"/>
        <color indexed="9"/>
        <rFont val="Arial"/>
        <family val="2"/>
      </rPr>
      <t>EVISION</t>
    </r>
    <r>
      <rPr>
        <b/>
        <sz val="10"/>
        <color indexed="9"/>
        <rFont val="Arial"/>
        <family val="2"/>
      </rPr>
      <t>:</t>
    </r>
  </si>
  <si>
    <r>
      <t xml:space="preserve">TO Create an ADD-IN, just save this file as a </t>
    </r>
    <r>
      <rPr>
        <b/>
        <sz val="14"/>
        <rFont val="Arial"/>
        <family val="2"/>
      </rPr>
      <t xml:space="preserve">".xla" </t>
    </r>
    <r>
      <rPr>
        <sz val="14"/>
        <rFont val="Arial"/>
        <family val="2"/>
      </rPr>
      <t>type, and place it in your "Addins" directory</t>
    </r>
  </si>
  <si>
    <r>
      <t xml:space="preserve">1) Howell, Larry L., 2001, </t>
    </r>
    <r>
      <rPr>
        <b/>
        <i/>
        <sz val="10"/>
        <rFont val="Arial"/>
        <family val="2"/>
      </rPr>
      <t>Compliant Mechanisms</t>
    </r>
    <r>
      <rPr>
        <b/>
        <sz val="10"/>
        <rFont val="Arial"/>
        <family val="2"/>
      </rPr>
      <t xml:space="preserve">, John Wiley &amp; Sons, New York. </t>
    </r>
    <r>
      <rPr>
        <sz val="10"/>
        <rFont val="Arial"/>
        <family val="2"/>
      </rPr>
      <t>(see pg. 46)</t>
    </r>
  </si>
  <si>
    <r>
      <t xml:space="preserve">2) </t>
    </r>
    <r>
      <rPr>
        <i/>
        <sz val="10"/>
        <rFont val="Arial"/>
        <family val="2"/>
      </rPr>
      <t>Handbook of Mathematical Function with Formulas, Graphs, and Mathematical Tables</t>
    </r>
  </si>
  <si>
    <r>
      <t xml:space="preserve">3) </t>
    </r>
    <r>
      <rPr>
        <i/>
        <sz val="10"/>
        <rFont val="Arial"/>
        <family val="2"/>
      </rPr>
      <t>Handbook of Elliptic Integrals for Engineers and Physicists, by P.F. Byrd and M.D.Friedman</t>
    </r>
  </si>
  <si>
    <r>
      <t>4)</t>
    </r>
    <r>
      <rPr>
        <sz val="10"/>
        <rFont val="Arial"/>
        <family val="2"/>
      </rPr>
      <t xml:space="preserve"> L.V. King, "On the Direct Numerical Calculations of Elliptic Functions and Integrals"</t>
    </r>
  </si>
  <si>
    <r>
      <t xml:space="preserve">COMPARISON to the tables in </t>
    </r>
    <r>
      <rPr>
        <i/>
        <sz val="10"/>
        <rFont val="Arial"/>
        <family val="2"/>
      </rPr>
      <t>Handbook of ...</t>
    </r>
  </si>
  <si>
    <r>
      <t>"</t>
    </r>
    <r>
      <rPr>
        <sz val="10"/>
        <rFont val="Symbol"/>
        <family val="1"/>
        <charset val="2"/>
      </rPr>
      <t>f</t>
    </r>
    <r>
      <rPr>
        <sz val="10"/>
        <rFont val="Arial"/>
        <family val="2"/>
      </rPr>
      <t>"</t>
    </r>
    <r>
      <rPr>
        <sz val="10"/>
        <rFont val="Arial"/>
        <family val="2"/>
      </rPr>
      <t xml:space="preserve"> is called the amplitude, and must be in </t>
    </r>
    <r>
      <rPr>
        <i/>
        <sz val="10"/>
        <rFont val="Arial"/>
        <family val="2"/>
      </rPr>
      <t xml:space="preserve">radians  </t>
    </r>
    <r>
      <rPr>
        <sz val="10"/>
        <rFont val="Arial"/>
        <family val="2"/>
      </rPr>
      <t xml:space="preserve">(0 &lt; </t>
    </r>
    <r>
      <rPr>
        <sz val="10"/>
        <rFont val="Symbol"/>
        <family val="1"/>
        <charset val="2"/>
      </rPr>
      <t xml:space="preserve">f </t>
    </r>
    <r>
      <rPr>
        <sz val="10"/>
        <rFont val="Arial"/>
        <family val="2"/>
      </rPr>
      <t xml:space="preserve">&lt;= </t>
    </r>
    <r>
      <rPr>
        <sz val="10"/>
        <rFont val="Symbol"/>
        <family val="1"/>
        <charset val="2"/>
      </rPr>
      <t>p</t>
    </r>
    <r>
      <rPr>
        <sz val="10"/>
        <rFont val="Arial"/>
        <family val="2"/>
      </rPr>
      <t>/2)</t>
    </r>
  </si>
  <si>
    <r>
      <t xml:space="preserve">When </t>
    </r>
    <r>
      <rPr>
        <sz val="10"/>
        <rFont val="Symbol"/>
        <family val="1"/>
        <charset val="2"/>
      </rPr>
      <t>f</t>
    </r>
    <r>
      <rPr>
        <sz val="10"/>
        <rFont val="Arial"/>
        <family val="2"/>
      </rPr>
      <t xml:space="preserve"> is </t>
    </r>
    <r>
      <rPr>
        <sz val="10"/>
        <rFont val="Symbol"/>
        <family val="1"/>
        <charset val="2"/>
      </rPr>
      <t>p</t>
    </r>
    <r>
      <rPr>
        <sz val="10"/>
        <rFont val="Arial"/>
        <family val="2"/>
      </rPr>
      <t>/2, Ellip_E() and Ellip_F() give the 'complete' elliptic integrals</t>
    </r>
  </si>
  <si>
    <t>p</t>
  </si>
  <si>
    <t>Foi medido o valor da resistência da bobina e foram calculados os valores da frequência angular (usando a expressão  ω=2π*f) e a da impedância obtida pelo quociente entre a tensão e a corrente (Z) através da equação ωL=(Z^2-R^2)^(1/2). O valor experiemental do Coeficiente de Auto-Indução (L) corresponde ao declive da reta definida por ωL em função de ω. De seguida, através da aproximação de Grover, obtivemos o valor teórico deste Coeficiente. Comparando os dois valores, deparámo-nos com um erro experimental de 49,9%. Este erro é bastante elevado, podendo estar associado a erros das medidas geométricas das bobinas, do gerador de sinais ou ao multímetro.</t>
  </si>
  <si>
    <t>A medida da frequência angular foi realizada com o mesmo procedimento do ponto anterior. De seguida, foi possível calcular a transimpedância Z(1,2) resultante através do quociente entre a tensão medida na bobina 2 e a corrente medida na bobina 1. O valor experimental do Coeficiente de Indução Mútua (M) corresponde ao valor do declive da reta do gráfico. Usando as expressões de Maxwell, foi possível calcular o valor de M teórico e foi obtido um erro experimental de 6,1%. Este erro pode estar associado a um mau posicionamento da bobina 2 em relação à bobina1.</t>
  </si>
  <si>
    <t>Através da expressão 1.27, calculou-se a intensidade do campo no centro do sistema, recorrendo-se ao Coeficiente de Auto-indução, ao número de espiras da bobina 2 e ao raio da bobina 2. Outro método para calcular a intensidade do campo no centro do sistema é recorrendo à expressão 1.4. Para tal, foram usados os valores da Constante de Permeabilidade Magnética do Vácuo, do raio da bobina 1 e da componente segundo o eixo Z, que neste caso é nula. Os resultados foram comparados e obteve-se um erro muito pequeno.</t>
  </si>
  <si>
    <t>A intensidade do fluxo magnético que interseta a bobine 2 é diretamente proporcional ao ângulo formado entre ambas as bobines. Através da formula que nos dá a conhecer o fluxo magnético,  Φ = B*A*cos(θ), podemos retirar a conclusão de que quando as bobines são coaxiais e complanares (θ=0°), a intensidade do fluxo magnético é máxima logo a força eletromotriz (que é a tensão induzida) é máxima. A diminuição da intensidade (que por consequência, a força induzida) vai diminuindo com o aproximamento do ângulo a 90°. Quando este aqui chega, o fluxo magnético na bobine 2 tem um sentido perpedicular, logo, o seu valor é teoricamente nulo, não produzindo assim nenhuma força eletromotriz na bobine 2.</t>
  </si>
  <si>
    <t>Com estas medidas e a sua representação no gráfico acima, podemos retirar duas conclusões importantes para a melhor percepção do funcionamento do fluxo magnético criado pela bobine 1 e gerando uma força eletromotriz na bobine 2. A primeira conclusão dá-se em relação ao afastamento no eixo dos x's (eixo horizontal) neste caso denominado de "rho"; Com este afastamento, o fluxo magnético aumenta de forma exponencial até atingir o valor de 0,1m (raio da bobine 1); Para valores superiores, este diminui rapidamente com o afastamento. Já a segunda conclusão é em relação ao afastamento no eixo dos z's (eixo vertical); com este os valores vão diminuindo até o fluxo ser quase nulo para valores a cima de 0,4m. Através da fórmula (1.4), pode-se comprovar que o afastamento em (z) leva a uma diminuição do campo magnético (B) de cada espira.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</si>
</sst>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00"/>
  </numFmts>
  <fonts count="21" x14ac:knownFonts="1">
    <font>
      <sz val="10"/>
      <name val="Arial"/>
    </font>
    <font>
      <sz val="10"/>
      <name val="Arial"/>
      <family val="2"/>
    </font>
    <font>
      <b/>
      <sz val="10"/>
      <name val="Arial"/>
      <family val="2"/>
    </font>
    <font>
      <sz val="8"/>
      <color indexed="81"/>
      <name val="Tahoma"/>
      <family val="2"/>
    </font>
    <font>
      <b/>
      <sz val="8"/>
      <color indexed="81"/>
      <name val="Tahoma"/>
      <family val="2"/>
    </font>
    <font>
      <u/>
      <sz val="10"/>
      <color indexed="12"/>
      <name val="Arial"/>
      <family val="2"/>
    </font>
    <font>
      <sz val="10"/>
      <color indexed="9"/>
      <name val="Arial"/>
      <family val="2"/>
    </font>
    <font>
      <b/>
      <sz val="12"/>
      <name val="Arial"/>
      <family val="2"/>
    </font>
    <font>
      <b/>
      <sz val="10"/>
      <color indexed="9"/>
      <name val="Arial"/>
      <family val="2"/>
    </font>
    <font>
      <b/>
      <sz val="8"/>
      <color indexed="9"/>
      <name val="Arial"/>
      <family val="2"/>
    </font>
    <font>
      <b/>
      <sz val="9"/>
      <color indexed="18"/>
      <name val="Arial"/>
      <family val="2"/>
    </font>
    <font>
      <sz val="8"/>
      <name val="Arial"/>
      <family val="2"/>
    </font>
    <font>
      <u/>
      <sz val="8"/>
      <color indexed="12"/>
      <name val="Arial"/>
      <family val="2"/>
    </font>
    <font>
      <b/>
      <sz val="14"/>
      <name val="Arial"/>
      <family val="2"/>
    </font>
    <font>
      <sz val="14"/>
      <name val="Arial"/>
      <family val="2"/>
    </font>
    <font>
      <b/>
      <i/>
      <sz val="10"/>
      <name val="Arial"/>
      <family val="2"/>
    </font>
    <font>
      <sz val="10"/>
      <name val="Arial"/>
      <family val="2"/>
    </font>
    <font>
      <i/>
      <sz val="10"/>
      <name val="Arial"/>
      <family val="2"/>
    </font>
    <font>
      <sz val="10"/>
      <name val="Symbol"/>
      <family val="1"/>
      <charset val="2"/>
    </font>
    <font>
      <b/>
      <i/>
      <sz val="10"/>
      <name val="Times New Roman"/>
      <family val="1"/>
    </font>
    <font>
      <sz val="10"/>
      <color rgb="FFFF0000"/>
      <name val="Arial"/>
      <family val="2"/>
    </font>
  </fonts>
  <fills count="6">
    <fill>
      <patternFill patternType="none"/>
    </fill>
    <fill>
      <patternFill patternType="gray125"/>
    </fill>
    <fill>
      <patternFill patternType="solid">
        <fgColor indexed="41"/>
        <bgColor indexed="64"/>
      </patternFill>
    </fill>
    <fill>
      <patternFill patternType="solid">
        <fgColor indexed="18"/>
        <bgColor indexed="64"/>
      </patternFill>
    </fill>
    <fill>
      <patternFill patternType="solid">
        <fgColor indexed="22"/>
        <bgColor indexed="64"/>
      </patternFill>
    </fill>
    <fill>
      <patternFill patternType="solid">
        <fgColor indexed="23"/>
        <bgColor indexed="64"/>
      </patternFill>
    </fill>
  </fills>
  <borders count="19">
    <border>
      <left/>
      <right/>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style="thin">
        <color indexed="18"/>
      </left>
      <right style="thin">
        <color indexed="18"/>
      </right>
      <top style="thin">
        <color indexed="18"/>
      </top>
      <bottom/>
      <diagonal/>
    </border>
    <border>
      <left style="thin">
        <color indexed="64"/>
      </left>
      <right/>
      <top/>
      <bottom style="thin">
        <color indexed="64"/>
      </bottom>
      <diagonal/>
    </border>
    <border>
      <left style="thin">
        <color indexed="18"/>
      </left>
      <right style="thin">
        <color indexed="18"/>
      </right>
      <top/>
      <bottom style="thin">
        <color indexed="18"/>
      </bottom>
      <diagonal/>
    </border>
    <border>
      <left style="thin">
        <color indexed="55"/>
      </left>
      <right style="thin">
        <color indexed="55"/>
      </right>
      <top style="thin">
        <color indexed="55"/>
      </top>
      <bottom style="thin">
        <color indexed="55"/>
      </bottom>
      <diagonal/>
    </border>
    <border>
      <left style="thin">
        <color indexed="64"/>
      </left>
      <right/>
      <top/>
      <bottom/>
      <diagonal/>
    </border>
  </borders>
  <cellStyleXfs count="3">
    <xf numFmtId="0" fontId="0" fillId="0" borderId="0"/>
    <xf numFmtId="0" fontId="5" fillId="0" borderId="0" applyNumberFormat="0" applyFill="0" applyBorder="0" applyAlignment="0" applyProtection="0">
      <alignment vertical="top"/>
      <protection locked="0"/>
    </xf>
    <xf numFmtId="9" fontId="1" fillId="0" borderId="0" applyFont="0" applyFill="0" applyBorder="0" applyAlignment="0" applyProtection="0"/>
  </cellStyleXfs>
  <cellXfs count="87">
    <xf numFmtId="0" fontId="0" fillId="0" borderId="0" xfId="0"/>
    <xf numFmtId="0" fontId="0" fillId="0" borderId="0" xfId="0" applyProtection="1"/>
    <xf numFmtId="0" fontId="6" fillId="0" borderId="0" xfId="0" applyFont="1" applyProtection="1"/>
    <xf numFmtId="0" fontId="2" fillId="0" borderId="0" xfId="0" applyFont="1" applyProtection="1"/>
    <xf numFmtId="0" fontId="0" fillId="0" borderId="0" xfId="0" applyFill="1" applyProtection="1"/>
    <xf numFmtId="0" fontId="0" fillId="0" borderId="0" xfId="0" applyAlignment="1" applyProtection="1">
      <alignment horizontal="center"/>
    </xf>
    <xf numFmtId="165" fontId="0" fillId="0" borderId="0" xfId="0" applyNumberFormat="1" applyProtection="1"/>
    <xf numFmtId="2" fontId="0" fillId="0" borderId="0" xfId="0" applyNumberFormat="1" applyProtection="1"/>
    <xf numFmtId="11" fontId="0" fillId="0" borderId="0" xfId="0" applyNumberFormat="1" applyProtection="1"/>
    <xf numFmtId="164" fontId="0" fillId="0" borderId="0" xfId="2" applyNumberFormat="1" applyFont="1" applyProtection="1"/>
    <xf numFmtId="0" fontId="0" fillId="0" borderId="0" xfId="0" applyFill="1" applyAlignment="1" applyProtection="1">
      <alignment horizontal="center"/>
    </xf>
    <xf numFmtId="0" fontId="0" fillId="0" borderId="0" xfId="0" applyAlignment="1" applyProtection="1">
      <alignment horizontal="right"/>
    </xf>
    <xf numFmtId="0" fontId="0" fillId="0" borderId="1" xfId="0" applyBorder="1" applyProtection="1"/>
    <xf numFmtId="165" fontId="0" fillId="0" borderId="1" xfId="0" applyNumberFormat="1" applyBorder="1" applyProtection="1"/>
    <xf numFmtId="0" fontId="2" fillId="0" borderId="0" xfId="0" applyFont="1" applyAlignment="1" applyProtection="1">
      <alignment horizontal="center"/>
    </xf>
    <xf numFmtId="0" fontId="2" fillId="0" borderId="0" xfId="0" applyFont="1" applyAlignment="1" applyProtection="1">
      <alignment horizontal="center" wrapText="1"/>
    </xf>
    <xf numFmtId="0" fontId="2" fillId="0" borderId="0" xfId="0" applyFont="1" applyAlignment="1" applyProtection="1">
      <alignment horizontal="right"/>
    </xf>
    <xf numFmtId="0" fontId="7" fillId="0" borderId="0" xfId="0" applyFont="1" applyProtection="1"/>
    <xf numFmtId="0" fontId="8" fillId="0" borderId="0" xfId="0" applyFont="1" applyProtection="1"/>
    <xf numFmtId="0" fontId="2" fillId="0" borderId="0" xfId="0" applyFont="1" applyFill="1" applyAlignment="1" applyProtection="1">
      <alignment horizontal="center"/>
    </xf>
    <xf numFmtId="0" fontId="0" fillId="0" borderId="2" xfId="0" applyBorder="1" applyProtection="1"/>
    <xf numFmtId="0" fontId="0" fillId="0" borderId="3" xfId="0" applyBorder="1" applyAlignment="1" applyProtection="1">
      <alignment horizontal="right"/>
    </xf>
    <xf numFmtId="2" fontId="0" fillId="0" borderId="4" xfId="0" applyNumberFormat="1" applyBorder="1" applyAlignment="1" applyProtection="1">
      <alignment horizontal="center"/>
    </xf>
    <xf numFmtId="0" fontId="1" fillId="2" borderId="5" xfId="0" applyFont="1" applyFill="1" applyBorder="1" applyProtection="1">
      <protection locked="0"/>
    </xf>
    <xf numFmtId="0" fontId="1" fillId="2" borderId="6" xfId="0" applyFont="1" applyFill="1" applyBorder="1" applyProtection="1">
      <protection locked="0"/>
    </xf>
    <xf numFmtId="0" fontId="1" fillId="2" borderId="7" xfId="0" applyFont="1" applyFill="1" applyBorder="1" applyProtection="1">
      <protection locked="0"/>
    </xf>
    <xf numFmtId="11" fontId="0" fillId="2" borderId="8" xfId="0" applyNumberFormat="1" applyFill="1" applyBorder="1" applyProtection="1">
      <protection locked="0"/>
    </xf>
    <xf numFmtId="1" fontId="1" fillId="2" borderId="5" xfId="0" applyNumberFormat="1" applyFont="1" applyFill="1" applyBorder="1" applyProtection="1">
      <protection locked="0"/>
    </xf>
    <xf numFmtId="2" fontId="1" fillId="2" borderId="9" xfId="0" applyNumberFormat="1" applyFont="1" applyFill="1" applyBorder="1" applyProtection="1">
      <protection locked="0"/>
    </xf>
    <xf numFmtId="0" fontId="0" fillId="2" borderId="8" xfId="0" applyFill="1" applyBorder="1" applyProtection="1">
      <protection locked="0"/>
    </xf>
    <xf numFmtId="2" fontId="1" fillId="2" borderId="5" xfId="0" applyNumberFormat="1" applyFont="1" applyFill="1" applyBorder="1" applyProtection="1">
      <protection locked="0"/>
    </xf>
    <xf numFmtId="0" fontId="0" fillId="2" borderId="5" xfId="0" applyFill="1" applyBorder="1" applyProtection="1">
      <protection locked="0"/>
    </xf>
    <xf numFmtId="0" fontId="0" fillId="2" borderId="6" xfId="0" applyFill="1" applyBorder="1" applyProtection="1">
      <protection locked="0"/>
    </xf>
    <xf numFmtId="0" fontId="0" fillId="2" borderId="7" xfId="0" applyFill="1" applyBorder="1" applyProtection="1">
      <protection locked="0"/>
    </xf>
    <xf numFmtId="165" fontId="0" fillId="2" borderId="5" xfId="0" applyNumberFormat="1" applyFill="1" applyBorder="1" applyProtection="1">
      <protection locked="0"/>
    </xf>
    <xf numFmtId="2" fontId="0" fillId="2" borderId="5" xfId="0" applyNumberFormat="1" applyFill="1" applyBorder="1" applyProtection="1">
      <protection locked="0"/>
    </xf>
    <xf numFmtId="2" fontId="0" fillId="2" borderId="9" xfId="0" applyNumberFormat="1" applyFill="1" applyBorder="1" applyProtection="1">
      <protection locked="0"/>
    </xf>
    <xf numFmtId="0" fontId="0" fillId="2" borderId="5" xfId="0" applyFill="1" applyBorder="1" applyAlignment="1" applyProtection="1">
      <alignment horizontal="right"/>
      <protection locked="0"/>
    </xf>
    <xf numFmtId="0" fontId="0" fillId="2" borderId="7" xfId="0" applyFill="1" applyBorder="1" applyAlignment="1" applyProtection="1">
      <alignment horizontal="right"/>
      <protection locked="0"/>
    </xf>
    <xf numFmtId="0" fontId="8" fillId="3" borderId="5" xfId="0" applyFont="1" applyFill="1" applyBorder="1" applyAlignment="1">
      <alignment horizontal="right"/>
    </xf>
    <xf numFmtId="0" fontId="10" fillId="4" borderId="12" xfId="0" applyFont="1" applyFill="1" applyBorder="1"/>
    <xf numFmtId="0" fontId="0" fillId="4" borderId="13" xfId="0" applyFill="1" applyBorder="1"/>
    <xf numFmtId="0" fontId="8" fillId="3" borderId="8" xfId="0" applyFont="1" applyFill="1" applyBorder="1" applyAlignment="1">
      <alignment horizontal="right"/>
    </xf>
    <xf numFmtId="14" fontId="11" fillId="4" borderId="2" xfId="0" applyNumberFormat="1" applyFont="1" applyFill="1" applyBorder="1" applyAlignment="1">
      <alignment horizontal="center"/>
    </xf>
    <xf numFmtId="0" fontId="11" fillId="4" borderId="14" xfId="0" applyFont="1" applyFill="1" applyBorder="1" applyAlignment="1">
      <alignment horizontal="center"/>
    </xf>
    <xf numFmtId="0" fontId="8" fillId="3" borderId="7" xfId="0" applyFont="1" applyFill="1" applyBorder="1" applyAlignment="1">
      <alignment horizontal="right"/>
    </xf>
    <xf numFmtId="0" fontId="11" fillId="4" borderId="15" xfId="0" applyFont="1" applyFill="1" applyBorder="1"/>
    <xf numFmtId="0" fontId="0" fillId="4" borderId="1" xfId="0" applyFill="1" applyBorder="1"/>
    <xf numFmtId="49" fontId="11" fillId="4" borderId="15" xfId="0" applyNumberFormat="1" applyFont="1" applyFill="1" applyBorder="1" applyAlignment="1">
      <alignment horizontal="center"/>
    </xf>
    <xf numFmtId="0" fontId="12" fillId="4" borderId="16" xfId="1" applyFont="1" applyFill="1" applyBorder="1" applyAlignment="1" applyProtection="1">
      <alignment horizontal="center"/>
    </xf>
    <xf numFmtId="0" fontId="14" fillId="0" borderId="0" xfId="0" applyFont="1"/>
    <xf numFmtId="0" fontId="2" fillId="4" borderId="0" xfId="0" applyFont="1" applyFill="1"/>
    <xf numFmtId="0" fontId="0" fillId="4" borderId="0" xfId="0" applyFill="1"/>
    <xf numFmtId="0" fontId="2" fillId="0" borderId="0" xfId="0" applyFont="1"/>
    <xf numFmtId="0" fontId="16" fillId="0" borderId="0" xfId="0" applyFont="1"/>
    <xf numFmtId="0" fontId="18" fillId="0" borderId="0" xfId="0" applyFont="1" applyAlignment="1">
      <alignment horizontal="right"/>
    </xf>
    <xf numFmtId="0" fontId="0" fillId="2" borderId="0" xfId="0" applyFill="1"/>
    <xf numFmtId="0" fontId="2" fillId="0" borderId="0" xfId="0" applyFont="1" applyAlignment="1">
      <alignment horizontal="right"/>
    </xf>
    <xf numFmtId="0" fontId="2" fillId="0" borderId="17" xfId="0" applyFont="1" applyBorder="1"/>
    <xf numFmtId="0" fontId="0" fillId="0" borderId="0" xfId="0" applyAlignment="1">
      <alignment horizontal="right"/>
    </xf>
    <xf numFmtId="0" fontId="8" fillId="5" borderId="0" xfId="0" applyFont="1" applyFill="1"/>
    <xf numFmtId="0" fontId="16" fillId="5" borderId="0" xfId="0" applyFont="1" applyFill="1"/>
    <xf numFmtId="0" fontId="19" fillId="0" borderId="0" xfId="0" applyFont="1" applyFill="1" applyBorder="1" applyAlignment="1">
      <alignment horizontal="right"/>
    </xf>
    <xf numFmtId="11" fontId="0" fillId="0" borderId="8" xfId="0" applyNumberFormat="1" applyFill="1" applyBorder="1" applyProtection="1"/>
    <xf numFmtId="0" fontId="20" fillId="0" borderId="0" xfId="0" applyFont="1" applyProtection="1"/>
    <xf numFmtId="0" fontId="0" fillId="2" borderId="8" xfId="0" applyNumberFormat="1" applyFill="1" applyBorder="1" applyProtection="1">
      <protection locked="0"/>
    </xf>
    <xf numFmtId="0" fontId="16" fillId="0" borderId="0" xfId="0" applyFont="1" applyFill="1" applyAlignment="1" applyProtection="1">
      <alignment horizontal="center"/>
    </xf>
    <xf numFmtId="11" fontId="20" fillId="0" borderId="0" xfId="0" applyNumberFormat="1" applyFont="1" applyProtection="1"/>
    <xf numFmtId="2" fontId="20" fillId="0" borderId="0" xfId="0" applyNumberFormat="1" applyFont="1" applyProtection="1"/>
    <xf numFmtId="0" fontId="1" fillId="2" borderId="12" xfId="0" applyFont="1" applyFill="1" applyBorder="1" applyAlignment="1" applyProtection="1">
      <alignment horizontal="left"/>
      <protection locked="0"/>
    </xf>
    <xf numFmtId="0" fontId="0" fillId="2" borderId="13" xfId="0" applyFill="1" applyBorder="1" applyAlignment="1" applyProtection="1">
      <alignment horizontal="left"/>
      <protection locked="0"/>
    </xf>
    <xf numFmtId="0" fontId="0" fillId="2" borderId="9" xfId="0" applyFill="1" applyBorder="1" applyAlignment="1" applyProtection="1">
      <alignment horizontal="left"/>
      <protection locked="0"/>
    </xf>
    <xf numFmtId="0" fontId="0" fillId="2" borderId="18" xfId="0" applyFill="1" applyBorder="1" applyAlignment="1" applyProtection="1">
      <alignment horizontal="left"/>
      <protection locked="0"/>
    </xf>
    <xf numFmtId="0" fontId="0" fillId="2" borderId="0" xfId="0" applyFill="1" applyBorder="1" applyAlignment="1" applyProtection="1">
      <alignment horizontal="left"/>
      <protection locked="0"/>
    </xf>
    <xf numFmtId="0" fontId="0" fillId="2" borderId="10" xfId="0" applyFill="1" applyBorder="1" applyAlignment="1" applyProtection="1">
      <alignment horizontal="left"/>
      <protection locked="0"/>
    </xf>
    <xf numFmtId="0" fontId="0" fillId="2" borderId="15" xfId="0" applyFill="1" applyBorder="1" applyAlignment="1" applyProtection="1">
      <alignment horizontal="left"/>
      <protection locked="0"/>
    </xf>
    <xf numFmtId="0" fontId="0" fillId="2" borderId="1" xfId="0" applyFill="1" applyBorder="1" applyAlignment="1" applyProtection="1">
      <alignment horizontal="left"/>
      <protection locked="0"/>
    </xf>
    <xf numFmtId="0" fontId="0" fillId="2" borderId="11" xfId="0" applyFill="1" applyBorder="1" applyAlignment="1" applyProtection="1">
      <alignment horizontal="left"/>
      <protection locked="0"/>
    </xf>
    <xf numFmtId="0" fontId="1" fillId="2" borderId="12" xfId="0" applyFont="1" applyFill="1" applyBorder="1" applyAlignment="1" applyProtection="1">
      <alignment horizontal="left" wrapText="1"/>
      <protection locked="0"/>
    </xf>
    <xf numFmtId="0" fontId="0" fillId="2" borderId="13" xfId="0" applyFill="1" applyBorder="1" applyAlignment="1" applyProtection="1">
      <alignment horizontal="left" wrapText="1"/>
      <protection locked="0"/>
    </xf>
    <xf numFmtId="0" fontId="0" fillId="2" borderId="9" xfId="0" applyFill="1" applyBorder="1" applyAlignment="1" applyProtection="1">
      <alignment horizontal="left" wrapText="1"/>
      <protection locked="0"/>
    </xf>
    <xf numFmtId="0" fontId="0" fillId="2" borderId="18" xfId="0" applyFill="1" applyBorder="1" applyAlignment="1" applyProtection="1">
      <alignment horizontal="left" wrapText="1"/>
      <protection locked="0"/>
    </xf>
    <xf numFmtId="0" fontId="0" fillId="2" borderId="0" xfId="0" applyFill="1" applyAlignment="1" applyProtection="1">
      <alignment horizontal="left" wrapText="1"/>
      <protection locked="0"/>
    </xf>
    <xf numFmtId="0" fontId="0" fillId="2" borderId="10" xfId="0" applyFill="1" applyBorder="1" applyAlignment="1" applyProtection="1">
      <alignment horizontal="left" wrapText="1"/>
      <protection locked="0"/>
    </xf>
    <xf numFmtId="0" fontId="0" fillId="2" borderId="15" xfId="0" applyFill="1" applyBorder="1" applyAlignment="1" applyProtection="1">
      <alignment horizontal="left" wrapText="1"/>
      <protection locked="0"/>
    </xf>
    <xf numFmtId="0" fontId="0" fillId="2" borderId="1" xfId="0" applyFill="1" applyBorder="1" applyAlignment="1" applyProtection="1">
      <alignment horizontal="left" wrapText="1"/>
      <protection locked="0"/>
    </xf>
    <xf numFmtId="0" fontId="0" fillId="2" borderId="11" xfId="0" applyFill="1" applyBorder="1" applyAlignment="1" applyProtection="1">
      <alignment horizontal="left" wrapText="1"/>
      <protection locked="0"/>
    </xf>
  </cellXfs>
  <cellStyles count="3">
    <cellStyle name="Hiperligação" xfId="1" builtinId="8"/>
    <cellStyle name="Normal" xfId="0" builtinId="0"/>
    <cellStyle name="Percentagem"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983059989654216"/>
          <c:y val="9.4872032431972231E-2"/>
          <c:w val="0.80056742957029092"/>
          <c:h val="0.64871957311591821"/>
        </c:manualLayout>
      </c:layout>
      <c:scatterChart>
        <c:scatterStyle val="lineMarker"/>
        <c:varyColors val="0"/>
        <c:ser>
          <c:idx val="0"/>
          <c:order val="0"/>
          <c:spPr>
            <a:ln w="19050">
              <a:noFill/>
            </a:ln>
          </c:spPr>
          <c:marker>
            <c:symbol val="circle"/>
            <c:size val="7"/>
            <c:spPr>
              <a:noFill/>
              <a:ln>
                <a:solidFill>
                  <a:srgbClr val="FF0000"/>
                </a:solidFill>
                <a:prstDash val="solid"/>
              </a:ln>
            </c:spPr>
          </c:marker>
          <c:trendline>
            <c:spPr>
              <a:ln w="25400">
                <a:solidFill>
                  <a:srgbClr val="000000"/>
                </a:solidFill>
                <a:prstDash val="solid"/>
              </a:ln>
            </c:spPr>
            <c:trendlineType val="linear"/>
            <c:dispRSqr val="0"/>
            <c:dispEq val="1"/>
            <c:trendlineLbl>
              <c:layout>
                <c:manualLayout>
                  <c:x val="-0.11455454337313281"/>
                  <c:y val="-0.10512855755952183"/>
                </c:manualLayout>
              </c:layout>
              <c:numFmt formatCode="0.00E+00" sourceLinked="0"/>
              <c:spPr>
                <a:noFill/>
                <a:ln w="25400">
                  <a:noFill/>
                </a:ln>
              </c:spPr>
              <c:txPr>
                <a:bodyPr/>
                <a:lstStyle/>
                <a:p>
                  <a:pPr>
                    <a:defRPr sz="975" b="0" i="0" u="none" strike="noStrike" baseline="0">
                      <a:solidFill>
                        <a:srgbClr val="000000"/>
                      </a:solidFill>
                      <a:latin typeface="Arial"/>
                      <a:ea typeface="Arial"/>
                      <a:cs typeface="Arial"/>
                    </a:defRPr>
                  </a:pPr>
                  <a:endParaRPr lang="pt-PT"/>
                </a:p>
              </c:txPr>
            </c:trendlineLbl>
          </c:trendline>
          <c:xVal>
            <c:numRef>
              <c:f>Relatório!$D$19:$D$22</c:f>
              <c:numCache>
                <c:formatCode>0</c:formatCode>
                <c:ptCount val="4"/>
                <c:pt idx="0">
                  <c:v>1256.6370614359173</c:v>
                </c:pt>
                <c:pt idx="1">
                  <c:v>3141.5926535897929</c:v>
                </c:pt>
                <c:pt idx="2">
                  <c:v>6283.1853071795858</c:v>
                </c:pt>
                <c:pt idx="3">
                  <c:v>12566.370614359172</c:v>
                </c:pt>
              </c:numCache>
            </c:numRef>
          </c:xVal>
          <c:yVal>
            <c:numRef>
              <c:f>Relatório!$E$19:$E$22</c:f>
              <c:numCache>
                <c:formatCode>0.00</c:formatCode>
                <c:ptCount val="4"/>
                <c:pt idx="0">
                  <c:v>16.081152007895064</c:v>
                </c:pt>
                <c:pt idx="1">
                  <c:v>40.881036393268609</c:v>
                </c:pt>
                <c:pt idx="2">
                  <c:v>82.040779448589461</c:v>
                </c:pt>
                <c:pt idx="3">
                  <c:v>157.53894188484861</c:v>
                </c:pt>
              </c:numCache>
            </c:numRef>
          </c:yVal>
          <c:smooth val="0"/>
          <c:extLst>
            <c:ext xmlns:c16="http://schemas.microsoft.com/office/drawing/2014/chart" uri="{C3380CC4-5D6E-409C-BE32-E72D297353CC}">
              <c16:uniqueId val="{00000001-FE65-4024-9F76-5438F54C5FB1}"/>
            </c:ext>
          </c:extLst>
        </c:ser>
        <c:dLbls>
          <c:showLegendKey val="0"/>
          <c:showVal val="0"/>
          <c:showCatName val="0"/>
          <c:showSerName val="0"/>
          <c:showPercent val="0"/>
          <c:showBubbleSize val="0"/>
        </c:dLbls>
        <c:axId val="520372224"/>
        <c:axId val="1"/>
      </c:scatterChart>
      <c:valAx>
        <c:axId val="520372224"/>
        <c:scaling>
          <c:orientation val="minMax"/>
        </c:scaling>
        <c:delete val="0"/>
        <c:axPos val="b"/>
        <c:title>
          <c:tx>
            <c:rich>
              <a:bodyPr/>
              <a:lstStyle/>
              <a:p>
                <a:pPr>
                  <a:defRPr sz="1000" b="1" i="0" u="none" strike="noStrike" baseline="0">
                    <a:solidFill>
                      <a:srgbClr val="000000"/>
                    </a:solidFill>
                    <a:latin typeface="Symbol"/>
                    <a:ea typeface="Symbol"/>
                    <a:cs typeface="Symbol"/>
                  </a:defRPr>
                </a:pPr>
                <a:r>
                  <a:rPr lang="pt-PT" sz="1000" b="1" i="0" u="none" strike="noStrike" baseline="0">
                    <a:solidFill>
                      <a:srgbClr val="000000"/>
                    </a:solidFill>
                    <a:latin typeface="Symbol"/>
                  </a:rPr>
                  <a:t>w</a:t>
                </a:r>
                <a:r>
                  <a:rPr lang="pt-PT" sz="1000" b="1" i="0" u="none" strike="noStrike" baseline="0">
                    <a:solidFill>
                      <a:srgbClr val="000000"/>
                    </a:solidFill>
                    <a:latin typeface="Arial"/>
                    <a:cs typeface="Arial"/>
                  </a:rPr>
                  <a:t> (rad/s)</a:t>
                </a:r>
              </a:p>
            </c:rich>
          </c:tx>
          <c:layout>
            <c:manualLayout>
              <c:xMode val="edge"/>
              <c:yMode val="edge"/>
              <c:x val="0.49646496074058677"/>
              <c:y val="0.8589765098570458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1000" b="1" i="0" u="none" strike="noStrike" baseline="0">
                    <a:solidFill>
                      <a:srgbClr val="000000"/>
                    </a:solidFill>
                    <a:latin typeface="Symbol"/>
                    <a:ea typeface="Symbol"/>
                    <a:cs typeface="Symbol"/>
                  </a:defRPr>
                </a:pPr>
                <a:r>
                  <a:rPr lang="pt-PT" sz="1000" b="1" i="0" u="none" strike="noStrike" baseline="0">
                    <a:solidFill>
                      <a:srgbClr val="000000"/>
                    </a:solidFill>
                    <a:latin typeface="Symbol"/>
                  </a:rPr>
                  <a:t>w</a:t>
                </a:r>
                <a:r>
                  <a:rPr lang="pt-PT" sz="1000" b="1" i="0" u="none" strike="noStrike" baseline="0">
                    <a:solidFill>
                      <a:srgbClr val="000000"/>
                    </a:solidFill>
                    <a:latin typeface="Arial"/>
                    <a:cs typeface="Arial"/>
                  </a:rPr>
                  <a:t>L (ohm)</a:t>
                </a:r>
              </a:p>
            </c:rich>
          </c:tx>
          <c:layout>
            <c:manualLayout>
              <c:xMode val="edge"/>
              <c:yMode val="edge"/>
              <c:x val="3.1117461926760424E-2"/>
              <c:y val="0.2974366422191562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pt-PT"/>
          </a:p>
        </c:txPr>
        <c:crossAx val="52037222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paperSize="9"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270837752440035"/>
          <c:y val="9.4388107815892366E-2"/>
          <c:w val="0.83780202585625074"/>
          <c:h val="0.65051263494736633"/>
        </c:manualLayout>
      </c:layout>
      <c:scatterChart>
        <c:scatterStyle val="lineMarker"/>
        <c:varyColors val="0"/>
        <c:ser>
          <c:idx val="0"/>
          <c:order val="0"/>
          <c:spPr>
            <a:ln w="19050">
              <a:noFill/>
            </a:ln>
          </c:spPr>
          <c:marker>
            <c:symbol val="circle"/>
            <c:size val="7"/>
            <c:spPr>
              <a:noFill/>
              <a:ln>
                <a:solidFill>
                  <a:srgbClr val="FF0000"/>
                </a:solidFill>
                <a:prstDash val="solid"/>
              </a:ln>
            </c:spPr>
          </c:marker>
          <c:trendline>
            <c:spPr>
              <a:ln w="25400">
                <a:solidFill>
                  <a:srgbClr val="000000"/>
                </a:solidFill>
                <a:prstDash val="solid"/>
              </a:ln>
            </c:spPr>
            <c:trendlineType val="linear"/>
            <c:dispRSqr val="0"/>
            <c:dispEq val="1"/>
            <c:trendlineLbl>
              <c:layout>
                <c:manualLayout>
                  <c:x val="-0.82155544796548208"/>
                  <c:y val="-9.4388042443856582E-2"/>
                </c:manualLayout>
              </c:layout>
              <c:numFmt formatCode="0.00E+00" sourceLinked="0"/>
              <c:spPr>
                <a:noFill/>
                <a:ln w="25400">
                  <a:noFill/>
                </a:ln>
              </c:spPr>
              <c:txPr>
                <a:bodyPr/>
                <a:lstStyle/>
                <a:p>
                  <a:pPr>
                    <a:defRPr sz="975" b="0" i="0" u="none" strike="noStrike" baseline="0">
                      <a:solidFill>
                        <a:srgbClr val="000000"/>
                      </a:solidFill>
                      <a:latin typeface="Arial"/>
                      <a:ea typeface="Arial"/>
                      <a:cs typeface="Arial"/>
                    </a:defRPr>
                  </a:pPr>
                  <a:endParaRPr lang="pt-PT"/>
                </a:p>
              </c:txPr>
            </c:trendlineLbl>
          </c:trendline>
          <c:xVal>
            <c:numRef>
              <c:f>Relatório!$D$49:$D$52</c:f>
              <c:numCache>
                <c:formatCode>0</c:formatCode>
                <c:ptCount val="4"/>
                <c:pt idx="0">
                  <c:v>1256.6370614359173</c:v>
                </c:pt>
                <c:pt idx="1">
                  <c:v>3141.5926535897929</c:v>
                </c:pt>
                <c:pt idx="2">
                  <c:v>6283.1853071795858</c:v>
                </c:pt>
                <c:pt idx="3">
                  <c:v>12566.370614359172</c:v>
                </c:pt>
              </c:numCache>
            </c:numRef>
          </c:xVal>
          <c:yVal>
            <c:numRef>
              <c:f>Relatório!$E$49:$E$52</c:f>
              <c:numCache>
                <c:formatCode>0.00</c:formatCode>
                <c:ptCount val="4"/>
                <c:pt idx="0">
                  <c:v>1.8627450980392157</c:v>
                </c:pt>
                <c:pt idx="1">
                  <c:v>4.5962732919254661</c:v>
                </c:pt>
                <c:pt idx="2">
                  <c:v>9.0566037735849054</c:v>
                </c:pt>
                <c:pt idx="3">
                  <c:v>17.377049180327869</c:v>
                </c:pt>
              </c:numCache>
            </c:numRef>
          </c:yVal>
          <c:smooth val="0"/>
          <c:extLst>
            <c:ext xmlns:c16="http://schemas.microsoft.com/office/drawing/2014/chart" uri="{C3380CC4-5D6E-409C-BE32-E72D297353CC}">
              <c16:uniqueId val="{00000001-8F74-49E0-BE99-B9C628CB12E1}"/>
            </c:ext>
          </c:extLst>
        </c:ser>
        <c:dLbls>
          <c:showLegendKey val="0"/>
          <c:showVal val="0"/>
          <c:showCatName val="0"/>
          <c:showSerName val="0"/>
          <c:showPercent val="0"/>
          <c:showBubbleSize val="0"/>
        </c:dLbls>
        <c:axId val="520377800"/>
        <c:axId val="1"/>
      </c:scatterChart>
      <c:valAx>
        <c:axId val="520377800"/>
        <c:scaling>
          <c:orientation val="minMax"/>
        </c:scaling>
        <c:delete val="0"/>
        <c:axPos val="b"/>
        <c:title>
          <c:tx>
            <c:rich>
              <a:bodyPr/>
              <a:lstStyle/>
              <a:p>
                <a:pPr>
                  <a:defRPr sz="975" b="1" i="0" u="none" strike="noStrike" baseline="0">
                    <a:solidFill>
                      <a:srgbClr val="000000"/>
                    </a:solidFill>
                    <a:latin typeface="Symbol"/>
                    <a:ea typeface="Symbol"/>
                    <a:cs typeface="Symbol"/>
                  </a:defRPr>
                </a:pPr>
                <a:r>
                  <a:rPr lang="pt-PT" sz="975" b="1" i="0" u="none" strike="noStrike" baseline="0">
                    <a:solidFill>
                      <a:srgbClr val="000000"/>
                    </a:solidFill>
                    <a:latin typeface="Symbol"/>
                  </a:rPr>
                  <a:t>w</a:t>
                </a:r>
                <a:r>
                  <a:rPr lang="pt-PT" sz="975" b="1" i="0" u="none" strike="noStrike" baseline="0">
                    <a:solidFill>
                      <a:srgbClr val="000000"/>
                    </a:solidFill>
                    <a:latin typeface="Arial"/>
                    <a:cs typeface="Arial"/>
                  </a:rPr>
                  <a:t> (rad/s)</a:t>
                </a:r>
              </a:p>
            </c:rich>
          </c:tx>
          <c:layout>
            <c:manualLayout>
              <c:xMode val="edge"/>
              <c:yMode val="edge"/>
              <c:x val="0.47813954000887038"/>
              <c:y val="0.85969709010691153"/>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975" b="1" i="0" u="none" strike="noStrike" baseline="0">
                    <a:solidFill>
                      <a:srgbClr val="000000"/>
                    </a:solidFill>
                    <a:latin typeface="Arial"/>
                    <a:ea typeface="Arial"/>
                    <a:cs typeface="Arial"/>
                  </a:defRPr>
                </a:pPr>
                <a:r>
                  <a:rPr lang="pt-PT"/>
                  <a:t>Z1,2 (ohm)</a:t>
                </a:r>
              </a:p>
            </c:rich>
          </c:tx>
          <c:layout>
            <c:manualLayout>
              <c:xMode val="edge"/>
              <c:yMode val="edge"/>
              <c:x val="3.1029704661342618E-2"/>
              <c:y val="0.2831643234476771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PT"/>
          </a:p>
        </c:txPr>
        <c:crossAx val="520377800"/>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PT"/>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7100729108322"/>
          <c:y val="6.7641923424372377E-2"/>
          <c:w val="0.80056742957029092"/>
          <c:h val="0.74588931776064671"/>
        </c:manualLayout>
      </c:layout>
      <c:scatterChart>
        <c:scatterStyle val="smoothMarker"/>
        <c:varyColors val="0"/>
        <c:ser>
          <c:idx val="0"/>
          <c:order val="0"/>
          <c:spPr>
            <a:ln w="12700">
              <a:solidFill>
                <a:srgbClr val="000080"/>
              </a:solidFill>
              <a:prstDash val="solid"/>
            </a:ln>
          </c:spPr>
          <c:marker>
            <c:symbol val="none"/>
          </c:marker>
          <c:xVal>
            <c:numRef>
              <c:f>Relatório!$K$104:$K$134</c:f>
              <c:numCache>
                <c:formatCode>General</c:formatCode>
                <c:ptCount val="31"/>
                <c:pt idx="0">
                  <c:v>0</c:v>
                </c:pt>
                <c:pt idx="1">
                  <c:v>0.01</c:v>
                </c:pt>
                <c:pt idx="2">
                  <c:v>0.02</c:v>
                </c:pt>
                <c:pt idx="3">
                  <c:v>0.03</c:v>
                </c:pt>
                <c:pt idx="4">
                  <c:v>0.04</c:v>
                </c:pt>
                <c:pt idx="5">
                  <c:v>0.05</c:v>
                </c:pt>
                <c:pt idx="6">
                  <c:v>0.06</c:v>
                </c:pt>
                <c:pt idx="7">
                  <c:v>7.0000000000000007E-2</c:v>
                </c:pt>
                <c:pt idx="8">
                  <c:v>0.08</c:v>
                </c:pt>
                <c:pt idx="9">
                  <c:v>0.09</c:v>
                </c:pt>
                <c:pt idx="10">
                  <c:v>0.1</c:v>
                </c:pt>
                <c:pt idx="11">
                  <c:v>0.12</c:v>
                </c:pt>
                <c:pt idx="12">
                  <c:v>0.14000000000000001</c:v>
                </c:pt>
                <c:pt idx="13">
                  <c:v>0.16</c:v>
                </c:pt>
                <c:pt idx="14">
                  <c:v>0.18</c:v>
                </c:pt>
                <c:pt idx="15">
                  <c:v>0.2</c:v>
                </c:pt>
                <c:pt idx="16">
                  <c:v>0.22</c:v>
                </c:pt>
                <c:pt idx="17">
                  <c:v>0.24</c:v>
                </c:pt>
                <c:pt idx="18">
                  <c:v>0.26</c:v>
                </c:pt>
                <c:pt idx="19">
                  <c:v>0.28000000000000003</c:v>
                </c:pt>
                <c:pt idx="20">
                  <c:v>0.3</c:v>
                </c:pt>
                <c:pt idx="21">
                  <c:v>0.32</c:v>
                </c:pt>
                <c:pt idx="22">
                  <c:v>0.34</c:v>
                </c:pt>
                <c:pt idx="23">
                  <c:v>0.36</c:v>
                </c:pt>
                <c:pt idx="24">
                  <c:v>0.38</c:v>
                </c:pt>
                <c:pt idx="25">
                  <c:v>0.4</c:v>
                </c:pt>
                <c:pt idx="26">
                  <c:v>0.42</c:v>
                </c:pt>
                <c:pt idx="27">
                  <c:v>0.44</c:v>
                </c:pt>
                <c:pt idx="28">
                  <c:v>0.46</c:v>
                </c:pt>
                <c:pt idx="29">
                  <c:v>0.48</c:v>
                </c:pt>
                <c:pt idx="30">
                  <c:v>0.5</c:v>
                </c:pt>
              </c:numCache>
            </c:numRef>
          </c:xVal>
          <c:yVal>
            <c:numRef>
              <c:f>Relatório!$L$104:$L$134</c:f>
              <c:numCache>
                <c:formatCode>0.00E+00</c:formatCode>
                <c:ptCount val="31"/>
                <c:pt idx="0">
                  <c:v>1</c:v>
                </c:pt>
                <c:pt idx="1">
                  <c:v>0.98581307984155542</c:v>
                </c:pt>
                <c:pt idx="2">
                  <c:v>0.94520340479895171</c:v>
                </c:pt>
                <c:pt idx="3">
                  <c:v>0.88342737903088842</c:v>
                </c:pt>
                <c:pt idx="4">
                  <c:v>0.80756497385416603</c:v>
                </c:pt>
                <c:pt idx="5">
                  <c:v>0.72484634282347293</c:v>
                </c:pt>
                <c:pt idx="6">
                  <c:v>0.64139906066012442</c:v>
                </c:pt>
                <c:pt idx="7">
                  <c:v>0.56165866149609545</c:v>
                </c:pt>
                <c:pt idx="8">
                  <c:v>0.48834606399620317</c:v>
                </c:pt>
                <c:pt idx="9">
                  <c:v>0.42277048770905878</c:v>
                </c:pt>
                <c:pt idx="10">
                  <c:v>0.36523644312846271</c:v>
                </c:pt>
                <c:pt idx="11">
                  <c:v>0.27265490527284408</c:v>
                </c:pt>
                <c:pt idx="12">
                  <c:v>0.20503462505571513</c:v>
                </c:pt>
                <c:pt idx="13">
                  <c:v>0.15603746111582872</c:v>
                </c:pt>
                <c:pt idx="14">
                  <c:v>0.12040786659742726</c:v>
                </c:pt>
                <c:pt idx="15">
                  <c:v>9.4250749081047358E-2</c:v>
                </c:pt>
                <c:pt idx="16">
                  <c:v>7.4808890964383812E-2</c:v>
                </c:pt>
                <c:pt idx="17">
                  <c:v>6.0162761145239059E-2</c:v>
                </c:pt>
                <c:pt idx="18">
                  <c:v>4.8978802713564321E-2</c:v>
                </c:pt>
                <c:pt idx="19">
                  <c:v>4.0325463584047178E-2</c:v>
                </c:pt>
                <c:pt idx="20">
                  <c:v>3.3545859907403483E-2</c:v>
                </c:pt>
                <c:pt idx="21">
                  <c:v>2.8171507319814149E-2</c:v>
                </c:pt>
                <c:pt idx="22">
                  <c:v>2.3864204270746165E-2</c:v>
                </c:pt>
                <c:pt idx="23">
                  <c:v>2.0376779232256118E-2</c:v>
                </c:pt>
                <c:pt idx="24">
                  <c:v>1.7526391765340762E-2</c:v>
                </c:pt>
                <c:pt idx="25">
                  <c:v>1.5176200621729337E-2</c:v>
                </c:pt>
                <c:pt idx="26">
                  <c:v>1.3222642313903944E-2</c:v>
                </c:pt>
                <c:pt idx="27">
                  <c:v>1.1586504182447088E-2</c:v>
                </c:pt>
                <c:pt idx="28">
                  <c:v>1.0206589372199757E-2</c:v>
                </c:pt>
                <c:pt idx="29">
                  <c:v>9.0351710663151008E-3</c:v>
                </c:pt>
                <c:pt idx="30">
                  <c:v>8.0346952687907532E-3</c:v>
                </c:pt>
              </c:numCache>
            </c:numRef>
          </c:yVal>
          <c:smooth val="1"/>
          <c:extLst>
            <c:ext xmlns:c16="http://schemas.microsoft.com/office/drawing/2014/chart" uri="{C3380CC4-5D6E-409C-BE32-E72D297353CC}">
              <c16:uniqueId val="{00000000-0C08-4B0C-AF65-3BBA105F3780}"/>
            </c:ext>
          </c:extLst>
        </c:ser>
        <c:ser>
          <c:idx val="1"/>
          <c:order val="1"/>
          <c:spPr>
            <a:ln w="19050">
              <a:noFill/>
            </a:ln>
          </c:spPr>
          <c:marker>
            <c:symbol val="circle"/>
            <c:size val="7"/>
            <c:spPr>
              <a:noFill/>
              <a:ln>
                <a:solidFill>
                  <a:srgbClr val="FF0000"/>
                </a:solidFill>
                <a:prstDash val="solid"/>
              </a:ln>
            </c:spPr>
          </c:marker>
          <c:xVal>
            <c:numRef>
              <c:f>Relatório!$A$109:$A$113</c:f>
              <c:numCache>
                <c:formatCode>General</c:formatCode>
                <c:ptCount val="5"/>
                <c:pt idx="0">
                  <c:v>0</c:v>
                </c:pt>
                <c:pt idx="1">
                  <c:v>0.1</c:v>
                </c:pt>
                <c:pt idx="2">
                  <c:v>0.2</c:v>
                </c:pt>
                <c:pt idx="3">
                  <c:v>0.3</c:v>
                </c:pt>
                <c:pt idx="4">
                  <c:v>0.4</c:v>
                </c:pt>
              </c:numCache>
            </c:numRef>
          </c:xVal>
          <c:yVal>
            <c:numRef>
              <c:f>Relatório!$D$109:$D$113</c:f>
              <c:numCache>
                <c:formatCode>0.000</c:formatCode>
                <c:ptCount val="5"/>
                <c:pt idx="0">
                  <c:v>1</c:v>
                </c:pt>
                <c:pt idx="1">
                  <c:v>0.38086303939962479</c:v>
                </c:pt>
                <c:pt idx="2">
                  <c:v>0.10412757973733583</c:v>
                </c:pt>
                <c:pt idx="3">
                  <c:v>3.9399624765478425E-2</c:v>
                </c:pt>
                <c:pt idx="4">
                  <c:v>2.0637898686679174E-2</c:v>
                </c:pt>
              </c:numCache>
            </c:numRef>
          </c:yVal>
          <c:smooth val="1"/>
          <c:extLst>
            <c:ext xmlns:c16="http://schemas.microsoft.com/office/drawing/2014/chart" uri="{C3380CC4-5D6E-409C-BE32-E72D297353CC}">
              <c16:uniqueId val="{00000001-0C08-4B0C-AF65-3BBA105F3780}"/>
            </c:ext>
          </c:extLst>
        </c:ser>
        <c:ser>
          <c:idx val="2"/>
          <c:order val="2"/>
          <c:spPr>
            <a:ln w="12700">
              <a:solidFill>
                <a:srgbClr val="993300"/>
              </a:solidFill>
              <a:prstDash val="solid"/>
            </a:ln>
          </c:spPr>
          <c:marker>
            <c:symbol val="none"/>
          </c:marker>
          <c:xVal>
            <c:numRef>
              <c:f>Relatório!$O$104:$O$121</c:f>
              <c:numCache>
                <c:formatCode>General</c:formatCode>
                <c:ptCount val="18"/>
                <c:pt idx="0">
                  <c:v>1.0000000000000001E-5</c:v>
                </c:pt>
                <c:pt idx="1">
                  <c:v>5.0000000000000001E-3</c:v>
                </c:pt>
                <c:pt idx="2">
                  <c:v>0.01</c:v>
                </c:pt>
                <c:pt idx="3">
                  <c:v>1.4999999999999999E-2</c:v>
                </c:pt>
                <c:pt idx="4">
                  <c:v>0.02</c:v>
                </c:pt>
                <c:pt idx="5">
                  <c:v>2.5000000000000001E-2</c:v>
                </c:pt>
                <c:pt idx="6">
                  <c:v>0.03</c:v>
                </c:pt>
                <c:pt idx="7">
                  <c:v>3.5000000000000003E-2</c:v>
                </c:pt>
                <c:pt idx="8">
                  <c:v>0.04</c:v>
                </c:pt>
                <c:pt idx="9">
                  <c:v>4.4999999999999998E-2</c:v>
                </c:pt>
                <c:pt idx="10">
                  <c:v>0.05</c:v>
                </c:pt>
                <c:pt idx="11">
                  <c:v>5.5E-2</c:v>
                </c:pt>
                <c:pt idx="12">
                  <c:v>0.06</c:v>
                </c:pt>
                <c:pt idx="13">
                  <c:v>6.5000000000000002E-2</c:v>
                </c:pt>
                <c:pt idx="14">
                  <c:v>7.0000000000000007E-2</c:v>
                </c:pt>
                <c:pt idx="15">
                  <c:v>7.4999999999999997E-2</c:v>
                </c:pt>
                <c:pt idx="16">
                  <c:v>0.08</c:v>
                </c:pt>
                <c:pt idx="17">
                  <c:v>8.5000000000000006E-2</c:v>
                </c:pt>
              </c:numCache>
            </c:numRef>
          </c:xVal>
          <c:yVal>
            <c:numRef>
              <c:f>Relatório!$P$104:$P$121</c:f>
              <c:numCache>
                <c:formatCode>0.00</c:formatCode>
                <c:ptCount val="18"/>
                <c:pt idx="0">
                  <c:v>1</c:v>
                </c:pt>
                <c:pt idx="1">
                  <c:v>1.0017986263066709</c:v>
                </c:pt>
                <c:pt idx="2">
                  <c:v>1.0072434030351893</c:v>
                </c:pt>
                <c:pt idx="3">
                  <c:v>1.0164844372979773</c:v>
                </c:pt>
                <c:pt idx="4">
                  <c:v>1.0297840157661886</c:v>
                </c:pt>
                <c:pt idx="5">
                  <c:v>1.0475365229565612</c:v>
                </c:pt>
                <c:pt idx="6">
                  <c:v>1.0703003265309436</c:v>
                </c:pt>
                <c:pt idx="7">
                  <c:v>1.0988467636434998</c:v>
                </c:pt>
                <c:pt idx="8">
                  <c:v>1.134234961158801</c:v>
                </c:pt>
                <c:pt idx="9">
                  <c:v>1.1779275196085608</c:v>
                </c:pt>
                <c:pt idx="10">
                  <c:v>1.2319737079502022</c:v>
                </c:pt>
                <c:pt idx="11">
                  <c:v>1.2993093872646162</c:v>
                </c:pt>
                <c:pt idx="12">
                  <c:v>1.3842693406325788</c:v>
                </c:pt>
                <c:pt idx="13">
                  <c:v>1.493510001495344</c:v>
                </c:pt>
                <c:pt idx="14">
                  <c:v>1.6377850792869415</c:v>
                </c:pt>
                <c:pt idx="15">
                  <c:v>1.8356634537153798</c:v>
                </c:pt>
                <c:pt idx="16">
                  <c:v>2.122229977735965</c:v>
                </c:pt>
                <c:pt idx="17">
                  <c:v>2.5728393801887219</c:v>
                </c:pt>
              </c:numCache>
            </c:numRef>
          </c:yVal>
          <c:smooth val="1"/>
          <c:extLst>
            <c:ext xmlns:c16="http://schemas.microsoft.com/office/drawing/2014/chart" uri="{C3380CC4-5D6E-409C-BE32-E72D297353CC}">
              <c16:uniqueId val="{00000002-0C08-4B0C-AF65-3BBA105F3780}"/>
            </c:ext>
          </c:extLst>
        </c:ser>
        <c:ser>
          <c:idx val="3"/>
          <c:order val="3"/>
          <c:spPr>
            <a:ln w="19050">
              <a:noFill/>
            </a:ln>
          </c:spPr>
          <c:marker>
            <c:symbol val="square"/>
            <c:size val="6"/>
            <c:spPr>
              <a:noFill/>
              <a:ln>
                <a:solidFill>
                  <a:srgbClr val="FF0000"/>
                </a:solidFill>
                <a:prstDash val="solid"/>
              </a:ln>
            </c:spPr>
          </c:marker>
          <c:xVal>
            <c:numRef>
              <c:f>Relatório!$B$104:$B$108</c:f>
              <c:numCache>
                <c:formatCode>General</c:formatCode>
                <c:ptCount val="5"/>
                <c:pt idx="0">
                  <c:v>0</c:v>
                </c:pt>
                <c:pt idx="1">
                  <c:v>0.02</c:v>
                </c:pt>
                <c:pt idx="2">
                  <c:v>0.04</c:v>
                </c:pt>
                <c:pt idx="3">
                  <c:v>0.06</c:v>
                </c:pt>
                <c:pt idx="4">
                  <c:v>0.08</c:v>
                </c:pt>
              </c:numCache>
            </c:numRef>
          </c:xVal>
          <c:yVal>
            <c:numRef>
              <c:f>Relatório!$D$104:$D$108</c:f>
              <c:numCache>
                <c:formatCode>0.000</c:formatCode>
                <c:ptCount val="5"/>
                <c:pt idx="0">
                  <c:v>1</c:v>
                </c:pt>
                <c:pt idx="1">
                  <c:v>1.0414312617702448</c:v>
                </c:pt>
                <c:pt idx="2">
                  <c:v>1.1713747645951036</c:v>
                </c:pt>
                <c:pt idx="3">
                  <c:v>1.4529190207156308</c:v>
                </c:pt>
                <c:pt idx="4">
                  <c:v>1.7693032015065913</c:v>
                </c:pt>
              </c:numCache>
            </c:numRef>
          </c:yVal>
          <c:smooth val="1"/>
          <c:extLst>
            <c:ext xmlns:c16="http://schemas.microsoft.com/office/drawing/2014/chart" uri="{C3380CC4-5D6E-409C-BE32-E72D297353CC}">
              <c16:uniqueId val="{00000003-0C08-4B0C-AF65-3BBA105F3780}"/>
            </c:ext>
          </c:extLst>
        </c:ser>
        <c:dLbls>
          <c:showLegendKey val="0"/>
          <c:showVal val="0"/>
          <c:showCatName val="0"/>
          <c:showSerName val="0"/>
          <c:showPercent val="0"/>
          <c:showBubbleSize val="0"/>
        </c:dLbls>
        <c:axId val="520371568"/>
        <c:axId val="1"/>
      </c:scatterChart>
      <c:valAx>
        <c:axId val="520371568"/>
        <c:scaling>
          <c:orientation val="minMax"/>
          <c:max val="0.5"/>
        </c:scaling>
        <c:delete val="0"/>
        <c:axPos val="b"/>
        <c:title>
          <c:tx>
            <c:rich>
              <a:bodyPr/>
              <a:lstStyle/>
              <a:p>
                <a:pPr>
                  <a:defRPr sz="975" b="1" i="0" u="none" strike="noStrike" baseline="0">
                    <a:solidFill>
                      <a:srgbClr val="000000"/>
                    </a:solidFill>
                    <a:latin typeface="Arial"/>
                    <a:ea typeface="Arial"/>
                    <a:cs typeface="Arial"/>
                  </a:defRPr>
                </a:pPr>
                <a:r>
                  <a:rPr lang="pt-PT"/>
                  <a:t>z, rho (m)</a:t>
                </a:r>
              </a:p>
            </c:rich>
          </c:tx>
          <c:layout>
            <c:manualLayout>
              <c:xMode val="edge"/>
              <c:yMode val="edge"/>
              <c:x val="0.47949179968962652"/>
              <c:y val="0.8957984453497962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PT"/>
          </a:p>
        </c:txPr>
        <c:crossAx val="1"/>
        <c:crosses val="autoZero"/>
        <c:crossBetween val="midCat"/>
      </c:valAx>
      <c:valAx>
        <c:axId val="1"/>
        <c:scaling>
          <c:orientation val="minMax"/>
        </c:scaling>
        <c:delete val="0"/>
        <c:axPos val="l"/>
        <c:title>
          <c:tx>
            <c:rich>
              <a:bodyPr/>
              <a:lstStyle/>
              <a:p>
                <a:pPr>
                  <a:defRPr sz="975" b="1" i="0" u="none" strike="noStrike" baseline="0">
                    <a:solidFill>
                      <a:srgbClr val="000000"/>
                    </a:solidFill>
                    <a:latin typeface="Arial"/>
                    <a:ea typeface="Arial"/>
                    <a:cs typeface="Arial"/>
                  </a:defRPr>
                </a:pPr>
                <a:r>
                  <a:rPr lang="pt-PT"/>
                  <a:t>B(0,z)/B(0,0), B(rho,0)/B(0,0)</a:t>
                </a:r>
              </a:p>
            </c:rich>
          </c:tx>
          <c:layout>
            <c:manualLayout>
              <c:xMode val="edge"/>
              <c:yMode val="edge"/>
              <c:x val="3.1117461926760424E-2"/>
              <c:y val="0.1901286496252628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pt-PT"/>
          </a:p>
        </c:txPr>
        <c:crossAx val="52037156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pt-PT"/>
    </a:p>
  </c:txPr>
  <c:printSettings>
    <c:headerFooter alignWithMargins="0"/>
    <c:pageMargins b="1" l="0.75" r="0.75" t="1" header="0" footer="0"/>
    <c:pageSetup/>
  </c:printSettings>
</c:chartSpac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xdr:col>
      <xdr:colOff>0</xdr:colOff>
      <xdr:row>23</xdr:row>
      <xdr:rowOff>57150</xdr:rowOff>
    </xdr:from>
    <xdr:to>
      <xdr:col>7</xdr:col>
      <xdr:colOff>654050</xdr:colOff>
      <xdr:row>38</xdr:row>
      <xdr:rowOff>152400</xdr:rowOff>
    </xdr:to>
    <xdr:graphicFrame macro="">
      <xdr:nvGraphicFramePr>
        <xdr:cNvPr id="1025" name="Gráfico 1">
          <a:extLst>
            <a:ext uri="{FF2B5EF4-FFF2-40B4-BE49-F238E27FC236}">
              <a16:creationId xmlns:a16="http://schemas.microsoft.com/office/drawing/2014/main" id="{00000000-0008-0000-0000-000001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52</xdr:row>
      <xdr:rowOff>114300</xdr:rowOff>
    </xdr:from>
    <xdr:to>
      <xdr:col>8</xdr:col>
      <xdr:colOff>12700</xdr:colOff>
      <xdr:row>68</xdr:row>
      <xdr:rowOff>63500</xdr:rowOff>
    </xdr:to>
    <xdr:graphicFrame macro="">
      <xdr:nvGraphicFramePr>
        <xdr:cNvPr id="1027" name="Gráfico 3">
          <a:extLst>
            <a:ext uri="{FF2B5EF4-FFF2-40B4-BE49-F238E27FC236}">
              <a16:creationId xmlns:a16="http://schemas.microsoft.com/office/drawing/2014/main" id="{00000000-0008-0000-0000-000003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0</xdr:col>
          <xdr:colOff>31750</xdr:colOff>
          <xdr:row>76</xdr:row>
          <xdr:rowOff>57150</xdr:rowOff>
        </xdr:from>
        <xdr:to>
          <xdr:col>1</xdr:col>
          <xdr:colOff>69850</xdr:colOff>
          <xdr:row>79</xdr:row>
          <xdr:rowOff>19050</xdr:rowOff>
        </xdr:to>
        <xdr:sp macro="" textlink="">
          <xdr:nvSpPr>
            <xdr:cNvPr id="1028" name="Object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1</xdr:col>
      <xdr:colOff>0</xdr:colOff>
      <xdr:row>113</xdr:row>
      <xdr:rowOff>120650</xdr:rowOff>
    </xdr:from>
    <xdr:to>
      <xdr:col>7</xdr:col>
      <xdr:colOff>654050</xdr:colOff>
      <xdr:row>135</xdr:row>
      <xdr:rowOff>101600</xdr:rowOff>
    </xdr:to>
    <xdr:graphicFrame macro="">
      <xdr:nvGraphicFramePr>
        <xdr:cNvPr id="1030" name="Gráfico 6">
          <a:extLst>
            <a:ext uri="{FF2B5EF4-FFF2-40B4-BE49-F238E27FC236}">
              <a16:creationId xmlns:a16="http://schemas.microsoft.com/office/drawing/2014/main" id="{00000000-0008-0000-0000-000006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9</xdr:col>
          <xdr:colOff>622300</xdr:colOff>
          <xdr:row>0</xdr:row>
          <xdr:rowOff>1778000</xdr:rowOff>
        </xdr:to>
        <xdr:sp macro="" textlink="">
          <xdr:nvSpPr>
            <xdr:cNvPr id="1034" name="Object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fLocksWithSheet="0"/>
      </xdr:twoCellAnchor>
    </mc:Choice>
    <mc:Fallback/>
  </mc:AlternateContent>
  <xdr:twoCellAnchor>
    <xdr:from>
      <xdr:col>6</xdr:col>
      <xdr:colOff>0</xdr:colOff>
      <xdr:row>2</xdr:row>
      <xdr:rowOff>139700</xdr:rowOff>
    </xdr:from>
    <xdr:to>
      <xdr:col>9</xdr:col>
      <xdr:colOff>0</xdr:colOff>
      <xdr:row>7</xdr:row>
      <xdr:rowOff>0</xdr:rowOff>
    </xdr:to>
    <xdr:sp macro="" textlink="">
      <xdr:nvSpPr>
        <xdr:cNvPr id="1045" name="Text Box 21">
          <a:extLst>
            <a:ext uri="{FF2B5EF4-FFF2-40B4-BE49-F238E27FC236}">
              <a16:creationId xmlns:a16="http://schemas.microsoft.com/office/drawing/2014/main" id="{00000000-0008-0000-0000-000015040000}"/>
            </a:ext>
          </a:extLst>
        </xdr:cNvPr>
        <xdr:cNvSpPr txBox="1">
          <a:spLocks noChangeArrowheads="1"/>
        </xdr:cNvSpPr>
      </xdr:nvSpPr>
      <xdr:spPr bwMode="auto">
        <a:xfrm>
          <a:off x="3848100" y="2095500"/>
          <a:ext cx="1968500" cy="7175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pt-PT" sz="1000" b="0" i="0" u="none" strike="noStrike" baseline="0">
              <a:solidFill>
                <a:srgbClr val="FF0000"/>
              </a:solidFill>
              <a:latin typeface="Arial"/>
              <a:cs typeface="Arial"/>
            </a:rPr>
            <a:t>ATENÇÃO: precisa de abrir e instalar o pacote contido em </a:t>
          </a:r>
        </a:p>
        <a:p>
          <a:pPr algn="ctr" rtl="0">
            <a:defRPr sz="1000"/>
          </a:pPr>
          <a:r>
            <a:rPr lang="pt-PT" sz="1000" b="0" i="0" u="none" strike="noStrike" baseline="0">
              <a:solidFill>
                <a:srgbClr val="FF0000"/>
              </a:solidFill>
              <a:latin typeface="Arial"/>
              <a:cs typeface="Arial"/>
            </a:rPr>
            <a:t>EllipticAddIn.xls. Em princípio deveria ser automático.</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7</xdr:col>
          <xdr:colOff>0</xdr:colOff>
          <xdr:row>0</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solidFill>
              <a:srgbClr val="000000" mc:Ignorable="a14" a14:legacySpreadsheetColorIndex="67"/>
            </a:solidFill>
            <a:ln w="9525">
              <a:solidFill>
                <a:srgbClr val="000000" mc:Ignorable="a14" a14:legacySpreadsheetColorIndex="64"/>
              </a:solidFill>
              <a:miter lim="800000"/>
              <a:headEnd/>
              <a:tailEnd/>
            </a:ln>
          </xdr:spPr>
          <xdr:txBody>
            <a:bodyPr vertOverflow="clip" wrap="square" lIns="36576" tIns="27432" rIns="36576" bIns="27432" anchor="ctr" upright="1"/>
            <a:lstStyle/>
            <a:p>
              <a:pPr algn="ctr" rtl="0">
                <a:defRPr sz="1000"/>
              </a:pPr>
              <a:r>
                <a:rPr lang="pt-PT" sz="1000" b="0" i="0" u="none" strike="noStrike" baseline="0">
                  <a:solidFill>
                    <a:srgbClr val="000000"/>
                  </a:solidFill>
                  <a:latin typeface="Arial"/>
                  <a:cs typeface="Arial"/>
                </a:rPr>
                <a:t>solve</a:t>
              </a:r>
            </a:p>
          </xdr:txBody>
        </xdr:sp>
        <xdr:clientData fPrintsWithSheet="0"/>
      </xdr:twoCellAnchor>
    </mc:Choice>
    <mc:Fallback/>
  </mc:AlternateContent>
  <xdr:twoCellAnchor>
    <xdr:from>
      <xdr:col>0</xdr:col>
      <xdr:colOff>279400</xdr:colOff>
      <xdr:row>32</xdr:row>
      <xdr:rowOff>120650</xdr:rowOff>
    </xdr:from>
    <xdr:to>
      <xdr:col>6</xdr:col>
      <xdr:colOff>450850</xdr:colOff>
      <xdr:row>49</xdr:row>
      <xdr:rowOff>0</xdr:rowOff>
    </xdr:to>
    <xdr:sp macro="" textlink="">
      <xdr:nvSpPr>
        <xdr:cNvPr id="2050" name="Rectangle 2">
          <a:extLst>
            <a:ext uri="{FF2B5EF4-FFF2-40B4-BE49-F238E27FC236}">
              <a16:creationId xmlns:a16="http://schemas.microsoft.com/office/drawing/2014/main" id="{00000000-0008-0000-0100-000002080000}"/>
            </a:ext>
          </a:extLst>
        </xdr:cNvPr>
        <xdr:cNvSpPr>
          <a:spLocks noChangeArrowheads="1"/>
        </xdr:cNvSpPr>
      </xdr:nvSpPr>
      <xdr:spPr bwMode="auto">
        <a:xfrm>
          <a:off x="279400" y="5353050"/>
          <a:ext cx="3829050" cy="2597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32004" rIns="0" bIns="0" anchor="t" upright="1"/>
        <a:lstStyle/>
        <a:p>
          <a:pPr algn="l" rtl="0">
            <a:defRPr sz="1000"/>
          </a:pPr>
          <a:r>
            <a:rPr lang="pt-PT" sz="1000" b="1" i="0" u="none" strike="noStrike" baseline="0">
              <a:solidFill>
                <a:srgbClr val="000000"/>
              </a:solidFill>
              <a:latin typeface="Arial"/>
              <a:cs typeface="Arial"/>
            </a:rPr>
            <a:t>Ellip_E()</a:t>
          </a:r>
          <a:r>
            <a:rPr lang="pt-PT" sz="1000" b="0" i="0" u="none" strike="noStrike" baseline="0">
              <a:solidFill>
                <a:srgbClr val="000000"/>
              </a:solidFill>
              <a:latin typeface="Arial"/>
              <a:cs typeface="Arial"/>
            </a:rPr>
            <a:t> and </a:t>
          </a:r>
          <a:r>
            <a:rPr lang="pt-PT" sz="1000" b="1" i="0" u="none" strike="noStrike" baseline="0">
              <a:solidFill>
                <a:srgbClr val="000000"/>
              </a:solidFill>
              <a:latin typeface="Arial"/>
              <a:cs typeface="Arial"/>
            </a:rPr>
            <a:t>Ellip_F()</a:t>
          </a:r>
          <a:r>
            <a:rPr lang="pt-PT" sz="1000" b="0" i="0" u="none" strike="noStrike" baseline="0">
              <a:solidFill>
                <a:srgbClr val="000000"/>
              </a:solidFill>
              <a:latin typeface="Arial"/>
              <a:cs typeface="Arial"/>
            </a:rPr>
            <a:t> are visual basic functions for calculating the incomplete elliptic integrals of the first and second kind, based upon the definition provided in </a:t>
          </a:r>
          <a:r>
            <a:rPr lang="pt-PT" sz="1000" b="0" i="1" u="none" strike="noStrike" baseline="0">
              <a:solidFill>
                <a:srgbClr val="000000"/>
              </a:solidFill>
              <a:latin typeface="Arial"/>
              <a:cs typeface="Arial"/>
            </a:rPr>
            <a:t>Compliant Mechanisms</a:t>
          </a:r>
          <a:r>
            <a:rPr lang="pt-PT" sz="1000" b="0" i="0" u="none" strike="noStrike" baseline="0">
              <a:solidFill>
                <a:srgbClr val="000000"/>
              </a:solidFill>
              <a:latin typeface="Arial"/>
              <a:cs typeface="Arial"/>
            </a:rPr>
            <a:t>. Why? Well, because that is the only place I've ever had to use them - for large deflections of beams.</a:t>
          </a:r>
        </a:p>
        <a:p>
          <a:pPr algn="l" rtl="0">
            <a:defRPr sz="1000"/>
          </a:pPr>
          <a:endParaRPr lang="pt-PT" sz="1000" b="0" i="0" u="none" strike="noStrike" baseline="0">
            <a:solidFill>
              <a:srgbClr val="000000"/>
            </a:solidFill>
            <a:latin typeface="Arial"/>
            <a:cs typeface="Arial"/>
          </a:endParaRPr>
        </a:p>
        <a:p>
          <a:pPr algn="l" rtl="0">
            <a:defRPr sz="1000"/>
          </a:pPr>
          <a:r>
            <a:rPr lang="pt-PT" sz="1000" b="0" i="0" u="none" strike="noStrike" baseline="0">
              <a:solidFill>
                <a:srgbClr val="000000"/>
              </a:solidFill>
              <a:latin typeface="Arial"/>
              <a:cs typeface="Arial"/>
            </a:rPr>
            <a:t>The functions Ellip_E() and Ellip_F() are described in the "paste function" window that can be accessed by:</a:t>
          </a:r>
        </a:p>
        <a:p>
          <a:pPr algn="l" rtl="0">
            <a:defRPr sz="1000"/>
          </a:pPr>
          <a:r>
            <a:rPr lang="pt-PT" sz="1000" b="1" i="0" u="sng" strike="noStrike" baseline="0">
              <a:solidFill>
                <a:srgbClr val="000000"/>
              </a:solidFill>
              <a:latin typeface="Arial"/>
              <a:cs typeface="Arial"/>
            </a:rPr>
            <a:t>I</a:t>
          </a:r>
          <a:r>
            <a:rPr lang="pt-PT" sz="1000" b="1" i="0" u="none" strike="noStrike" baseline="0">
              <a:solidFill>
                <a:srgbClr val="000000"/>
              </a:solidFill>
              <a:latin typeface="Arial"/>
              <a:cs typeface="Arial"/>
            </a:rPr>
            <a:t>nsert</a:t>
          </a:r>
          <a:r>
            <a:rPr lang="pt-PT" sz="1000" b="0" i="0" u="none" strike="noStrike" baseline="0">
              <a:solidFill>
                <a:srgbClr val="000000"/>
              </a:solidFill>
              <a:latin typeface="Arial"/>
              <a:cs typeface="Arial"/>
            </a:rPr>
            <a:t> --&gt; </a:t>
          </a:r>
          <a:r>
            <a:rPr lang="pt-PT" sz="1000" b="1" i="0" u="sng" strike="noStrike" baseline="0">
              <a:solidFill>
                <a:srgbClr val="000000"/>
              </a:solidFill>
              <a:latin typeface="Arial"/>
              <a:cs typeface="Arial"/>
            </a:rPr>
            <a:t>F</a:t>
          </a:r>
          <a:r>
            <a:rPr lang="pt-PT" sz="1000" b="1" i="0" u="none" strike="noStrike" baseline="0">
              <a:solidFill>
                <a:srgbClr val="000000"/>
              </a:solidFill>
              <a:latin typeface="Arial"/>
              <a:cs typeface="Arial"/>
            </a:rPr>
            <a:t>unction...</a:t>
          </a:r>
          <a:r>
            <a:rPr lang="pt-PT" sz="1000" b="0" i="0" u="none" strike="noStrike" baseline="0">
              <a:solidFill>
                <a:srgbClr val="000000"/>
              </a:solidFill>
              <a:latin typeface="Arial"/>
              <a:cs typeface="Arial"/>
            </a:rPr>
            <a:t> </a:t>
          </a:r>
        </a:p>
        <a:p>
          <a:pPr algn="l" rtl="0">
            <a:defRPr sz="1000"/>
          </a:pPr>
          <a:r>
            <a:rPr lang="pt-PT" sz="1000" b="0" i="0" u="none" strike="noStrike" baseline="0">
              <a:solidFill>
                <a:srgbClr val="000000"/>
              </a:solidFill>
              <a:latin typeface="Arial"/>
              <a:cs typeface="Arial"/>
            </a:rPr>
            <a:t>They are in the "User Defined" Category</a:t>
          </a:r>
        </a:p>
        <a:p>
          <a:pPr algn="l" rtl="0">
            <a:defRPr sz="1000"/>
          </a:pPr>
          <a:endParaRPr lang="pt-PT" sz="1000" b="0" i="0" u="none" strike="noStrike" baseline="0">
            <a:solidFill>
              <a:srgbClr val="000000"/>
            </a:solidFill>
            <a:latin typeface="Arial"/>
            <a:cs typeface="Arial"/>
          </a:endParaRPr>
        </a:p>
        <a:p>
          <a:pPr algn="l" rtl="0">
            <a:defRPr sz="1000"/>
          </a:pPr>
          <a:r>
            <a:rPr lang="pt-PT" sz="1000" b="0" i="0" u="none" strike="noStrike" baseline="0">
              <a:solidFill>
                <a:srgbClr val="000000"/>
              </a:solidFill>
              <a:latin typeface="Arial"/>
              <a:cs typeface="Arial"/>
            </a:rPr>
            <a:t>An example of their use is provided in this spreadsheet. When comparing to the tables in </a:t>
          </a:r>
          <a:r>
            <a:rPr lang="pt-PT" sz="1000" b="0" i="1" u="none" strike="noStrike" baseline="0">
              <a:solidFill>
                <a:srgbClr val="000000"/>
              </a:solidFill>
              <a:latin typeface="Arial"/>
              <a:cs typeface="Arial"/>
            </a:rPr>
            <a:t>Handbook of ...</a:t>
          </a:r>
          <a:r>
            <a:rPr lang="pt-PT" sz="1000" b="0" i="0" u="none" strike="noStrike" baseline="0">
              <a:solidFill>
                <a:srgbClr val="000000"/>
              </a:solidFill>
              <a:latin typeface="Arial"/>
              <a:cs typeface="Arial"/>
            </a:rPr>
            <a:t>, note that the arguments </a:t>
          </a:r>
          <a:r>
            <a:rPr lang="pt-PT" sz="1000" b="0" i="0" u="none" strike="noStrike" baseline="0">
              <a:solidFill>
                <a:srgbClr val="000000"/>
              </a:solidFill>
              <a:latin typeface="Symbol"/>
              <a:cs typeface="Arial"/>
            </a:rPr>
            <a:t>a</a:t>
          </a:r>
          <a:r>
            <a:rPr lang="pt-PT" sz="1000" b="0" i="0" u="none" strike="noStrike" baseline="0">
              <a:solidFill>
                <a:srgbClr val="000000"/>
              </a:solidFill>
              <a:latin typeface="Arial"/>
              <a:cs typeface="Arial"/>
            </a:rPr>
            <a:t> and </a:t>
          </a:r>
          <a:r>
            <a:rPr lang="pt-PT" sz="1000" b="0" i="0" u="none" strike="noStrike" baseline="0">
              <a:solidFill>
                <a:srgbClr val="000000"/>
              </a:solidFill>
              <a:latin typeface="Symbol"/>
              <a:cs typeface="Arial"/>
            </a:rPr>
            <a:t>j</a:t>
          </a:r>
          <a:r>
            <a:rPr lang="pt-PT" sz="1000" b="0" i="0" u="none" strike="noStrike" baseline="0">
              <a:solidFill>
                <a:srgbClr val="000000"/>
              </a:solidFill>
              <a:latin typeface="Arial"/>
              <a:cs typeface="Arial"/>
            </a:rPr>
            <a:t> must be "transformed" to </a:t>
          </a:r>
          <a:r>
            <a:rPr lang="pt-PT" sz="1000" b="0" i="0" u="none" strike="noStrike" baseline="0">
              <a:solidFill>
                <a:srgbClr val="000000"/>
              </a:solidFill>
              <a:latin typeface="Symbol"/>
              <a:cs typeface="Arial"/>
            </a:rPr>
            <a:t>f</a:t>
          </a:r>
          <a:r>
            <a:rPr lang="pt-PT" sz="1000" b="0" i="0" u="none" strike="noStrike" baseline="0">
              <a:solidFill>
                <a:srgbClr val="000000"/>
              </a:solidFill>
              <a:latin typeface="Arial"/>
              <a:cs typeface="Arial"/>
            </a:rPr>
            <a:t> and k which are defined in </a:t>
          </a:r>
          <a:r>
            <a:rPr lang="pt-PT" sz="1000" b="0" i="1" u="none" strike="noStrike" baseline="0">
              <a:solidFill>
                <a:srgbClr val="000000"/>
              </a:solidFill>
              <a:latin typeface="Arial"/>
              <a:cs typeface="Arial"/>
            </a:rPr>
            <a:t>Compliant Mechanisms</a:t>
          </a:r>
          <a:r>
            <a:rPr lang="pt-PT" sz="1000" b="0" i="0" u="none" strike="noStrike" baseline="0">
              <a:solidFill>
                <a:srgbClr val="000000"/>
              </a:solidFill>
              <a:latin typeface="Arial"/>
              <a:cs typeface="Arial"/>
            </a:rPr>
            <a:t>.</a:t>
          </a:r>
        </a:p>
      </xdr:txBody>
    </xdr:sp>
    <xdr:clientData/>
  </xdr:twoCellAnchor>
  <xdr:twoCellAnchor editAs="oneCell">
    <xdr:from>
      <xdr:col>8</xdr:col>
      <xdr:colOff>0</xdr:colOff>
      <xdr:row>34</xdr:row>
      <xdr:rowOff>0</xdr:rowOff>
    </xdr:from>
    <xdr:to>
      <xdr:col>13</xdr:col>
      <xdr:colOff>0</xdr:colOff>
      <xdr:row>39</xdr:row>
      <xdr:rowOff>44450</xdr:rowOff>
    </xdr:to>
    <xdr:sp macro="" textlink="">
      <xdr:nvSpPr>
        <xdr:cNvPr id="2052" name="Rectangle 4">
          <a:extLst>
            <a:ext uri="{FF2B5EF4-FFF2-40B4-BE49-F238E27FC236}">
              <a16:creationId xmlns:a16="http://schemas.microsoft.com/office/drawing/2014/main" id="{00000000-0008-0000-0100-000004080000}"/>
            </a:ext>
          </a:extLst>
        </xdr:cNvPr>
        <xdr:cNvSpPr>
          <a:spLocks noChangeArrowheads="1"/>
        </xdr:cNvSpPr>
      </xdr:nvSpPr>
      <xdr:spPr bwMode="auto">
        <a:xfrm>
          <a:off x="4876800" y="5556250"/>
          <a:ext cx="3048000" cy="8509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2860" rIns="0" bIns="0" anchor="t" upright="1"/>
        <a:lstStyle/>
        <a:p>
          <a:pPr algn="l" rtl="0">
            <a:defRPr sz="1000"/>
          </a:pPr>
          <a:r>
            <a:rPr lang="pt-PT" sz="800" b="0" i="0" u="none" strike="noStrike" baseline="0">
              <a:solidFill>
                <a:srgbClr val="000000"/>
              </a:solidFill>
              <a:latin typeface="Arial"/>
              <a:cs typeface="Arial"/>
            </a:rPr>
            <a:t>Version: 1.0  --- The first version placed on the web.</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ack3-Indu&#231;&#227;o/EllipticAdd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EllipticAddIn"/>
    </sheetNames>
    <definedNames>
      <definedName name="EllipticIntegrals"/>
    </definedNames>
  </externalBook>
</externalLink>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Microsoft_Excel_97-2003_Worksheet.xls"/><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www.et.byu.edu/~jww8/" TargetMode="External"/><Relationship Id="rId6" Type="http://schemas.openxmlformats.org/officeDocument/2006/relationships/comments" Target="../comments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lha1"/>
  <dimension ref="A1:S142"/>
  <sheetViews>
    <sheetView showGridLines="0" tabSelected="1" workbookViewId="0">
      <selection activeCell="E10" sqref="E10"/>
    </sheetView>
  </sheetViews>
  <sheetFormatPr defaultColWidth="9.16796875" defaultRowHeight="12.75" x14ac:dyDescent="0.15"/>
  <cols>
    <col min="1" max="1" width="9.16796875" style="1"/>
    <col min="2" max="2" width="8.4921875" style="1" customWidth="1"/>
    <col min="3" max="5" width="9.16796875" style="1"/>
    <col min="6" max="6" width="9.84375" style="1" customWidth="1"/>
    <col min="7" max="8" width="9.16796875" style="1"/>
    <col min="9" max="9" width="9.84375" style="1" customWidth="1"/>
    <col min="10" max="10" width="9.16796875" style="1"/>
    <col min="11" max="11" width="9.70703125" style="2" customWidth="1"/>
    <col min="12" max="13" width="9.16796875" style="2"/>
    <col min="14" max="14" width="12.40625" style="2" customWidth="1"/>
    <col min="15" max="16" width="9.16796875" style="2"/>
    <col min="17" max="17" width="10.78515625" style="2" customWidth="1"/>
    <col min="18" max="18" width="9.16796875" style="2"/>
    <col min="19" max="16384" width="9.16796875" style="1"/>
  </cols>
  <sheetData>
    <row r="1" spans="1:11" ht="141.75" customHeight="1" x14ac:dyDescent="0.15"/>
    <row r="3" spans="1:11" ht="14.25" x14ac:dyDescent="0.15">
      <c r="A3" s="17" t="s">
        <v>48</v>
      </c>
    </row>
    <row r="4" spans="1:11" x14ac:dyDescent="0.15">
      <c r="A4" s="16" t="s">
        <v>17</v>
      </c>
      <c r="B4" s="31">
        <v>200</v>
      </c>
    </row>
    <row r="5" spans="1:11" x14ac:dyDescent="0.15">
      <c r="A5" s="16" t="s">
        <v>1</v>
      </c>
      <c r="B5" s="32">
        <f>__ri1+0.0065</f>
        <v>0.10550000000000001</v>
      </c>
      <c r="C5" s="1" t="s">
        <v>7</v>
      </c>
      <c r="D5" s="11" t="s">
        <v>13</v>
      </c>
      <c r="E5" s="26">
        <f>c_1/(LN(_re1/__ri1))</f>
        <v>0.10221555714060976</v>
      </c>
      <c r="F5" s="1" t="s">
        <v>7</v>
      </c>
    </row>
    <row r="6" spans="1:11" x14ac:dyDescent="0.15">
      <c r="A6" s="16" t="s">
        <v>2</v>
      </c>
      <c r="B6" s="32">
        <f>0.198/2</f>
        <v>9.9000000000000005E-2</v>
      </c>
      <c r="C6" s="1" t="s">
        <v>7</v>
      </c>
      <c r="D6" s="11" t="s">
        <v>14</v>
      </c>
      <c r="E6" s="63">
        <f>_re1-__ri1</f>
        <v>6.5000000000000058E-3</v>
      </c>
      <c r="F6" s="1" t="s">
        <v>7</v>
      </c>
    </row>
    <row r="7" spans="1:11" x14ac:dyDescent="0.15">
      <c r="A7" s="16" t="s">
        <v>3</v>
      </c>
      <c r="B7" s="33">
        <v>1.6299999999999999E-2</v>
      </c>
      <c r="C7" s="1" t="s">
        <v>7</v>
      </c>
    </row>
    <row r="8" spans="1:11" x14ac:dyDescent="0.15">
      <c r="A8" s="16"/>
      <c r="B8" s="4"/>
      <c r="G8" s="20"/>
      <c r="H8" s="21" t="s">
        <v>51</v>
      </c>
      <c r="I8" s="22">
        <f>Ellip_E(meioPi,K8)</f>
        <v>1.0006368668570809</v>
      </c>
      <c r="K8" s="2">
        <v>0.99987330355519011</v>
      </c>
    </row>
    <row r="9" spans="1:11" x14ac:dyDescent="0.15">
      <c r="A9" s="16" t="s">
        <v>18</v>
      </c>
      <c r="B9" s="31">
        <v>2000</v>
      </c>
      <c r="C9" s="1" t="s">
        <v>7</v>
      </c>
    </row>
    <row r="10" spans="1:11" x14ac:dyDescent="0.15">
      <c r="A10" s="16" t="s">
        <v>4</v>
      </c>
      <c r="B10" s="32">
        <f>__ri2+0.0094</f>
        <v>1.89E-2</v>
      </c>
      <c r="C10" s="1" t="s">
        <v>7</v>
      </c>
      <c r="D10" s="11" t="s">
        <v>15</v>
      </c>
      <c r="E10" s="26">
        <f>c_2/(LN(_re2/__ri2))</f>
        <v>1.3665370364873674E-2</v>
      </c>
      <c r="F10" s="1" t="s">
        <v>7</v>
      </c>
    </row>
    <row r="11" spans="1:11" x14ac:dyDescent="0.15">
      <c r="A11" s="16" t="s">
        <v>5</v>
      </c>
      <c r="B11" s="24">
        <f>0.019/2</f>
        <v>9.4999999999999998E-3</v>
      </c>
      <c r="C11" s="1" t="s">
        <v>7</v>
      </c>
      <c r="D11" s="11" t="s">
        <v>16</v>
      </c>
      <c r="E11" s="63">
        <f>_re2-__ri2</f>
        <v>9.4000000000000004E-3</v>
      </c>
      <c r="F11" s="1" t="s">
        <v>7</v>
      </c>
    </row>
    <row r="12" spans="1:11" x14ac:dyDescent="0.15">
      <c r="A12" s="16" t="s">
        <v>6</v>
      </c>
      <c r="B12" s="33">
        <v>6.3E-3</v>
      </c>
      <c r="C12" s="1" t="s">
        <v>7</v>
      </c>
    </row>
    <row r="14" spans="1:11" ht="14.25" x14ac:dyDescent="0.15">
      <c r="A14" s="17" t="s">
        <v>49</v>
      </c>
    </row>
    <row r="15" spans="1:11" x14ac:dyDescent="0.15">
      <c r="A15" s="3"/>
    </row>
    <row r="16" spans="1:11" x14ac:dyDescent="0.15">
      <c r="A16" s="16" t="s">
        <v>8</v>
      </c>
      <c r="B16" s="29">
        <v>8</v>
      </c>
      <c r="C16" s="1" t="s">
        <v>9</v>
      </c>
    </row>
    <row r="17" spans="1:14" x14ac:dyDescent="0.15">
      <c r="A17" s="5"/>
      <c r="N17" s="2">
        <f>4*PI()*0.0000001</f>
        <v>1.2566370614359173E-6</v>
      </c>
    </row>
    <row r="18" spans="1:14" ht="24" x14ac:dyDescent="0.15">
      <c r="A18" s="15" t="s">
        <v>0</v>
      </c>
      <c r="B18" s="15" t="s">
        <v>38</v>
      </c>
      <c r="C18" s="15" t="s">
        <v>39</v>
      </c>
      <c r="D18" s="15" t="s">
        <v>10</v>
      </c>
      <c r="E18" s="15" t="s">
        <v>11</v>
      </c>
      <c r="F18" s="15" t="s">
        <v>12</v>
      </c>
      <c r="G18" s="14" t="s">
        <v>82</v>
      </c>
      <c r="H18" s="15" t="s">
        <v>45</v>
      </c>
      <c r="I18" s="15" t="s">
        <v>21</v>
      </c>
      <c r="J18" s="15" t="s">
        <v>19</v>
      </c>
    </row>
    <row r="19" spans="1:14" x14ac:dyDescent="0.15">
      <c r="A19" s="1">
        <v>200</v>
      </c>
      <c r="B19" s="34">
        <v>0.20599999999999999</v>
      </c>
      <c r="C19" s="35">
        <v>3.7</v>
      </c>
      <c r="D19" s="27">
        <f>2*PI()*A19</f>
        <v>1256.6370614359173</v>
      </c>
      <c r="E19" s="30">
        <f>SQRT((C19/B19)^2-($B$16)^2)</f>
        <v>16.081152007895064</v>
      </c>
      <c r="F19" s="8">
        <f>LINEST(E19:E22,D19:D22)</f>
        <v>1.2483043781292806E-2</v>
      </c>
      <c r="G19" s="1">
        <f>(c_1/(2*a_1))^2</f>
        <v>1.0109570882428211E-3</v>
      </c>
      <c r="H19" s="26">
        <f>F19</f>
        <v>1.2483043781292806E-2</v>
      </c>
      <c r="I19" s="26">
        <f>(4*PI()*10^(-7))*a_1*200^2*((1/2+G19/12)*LN(8/G19)-0.84834+0.2041*G19)</f>
        <v>1.8705975634896992E-2</v>
      </c>
      <c r="J19" s="9">
        <f>I19/H19-1</f>
        <v>0.49851077690922829</v>
      </c>
      <c r="N19" s="2">
        <f>1/4*c_1^2/a_1^2</f>
        <v>1.0109570882428211E-3</v>
      </c>
    </row>
    <row r="20" spans="1:14" x14ac:dyDescent="0.15">
      <c r="A20" s="1">
        <v>500</v>
      </c>
      <c r="B20" s="34">
        <v>0.16300000000000001</v>
      </c>
      <c r="C20" s="35">
        <v>6.79</v>
      </c>
      <c r="D20" s="27">
        <f t="shared" ref="D20:D22" si="0">2*PI()*A20</f>
        <v>3141.5926535897929</v>
      </c>
      <c r="E20" s="30">
        <f t="shared" ref="E20:E22" si="1">SQRT((C20/B20)^2-($B$16)^2)</f>
        <v>40.881036393268609</v>
      </c>
      <c r="H20" s="5" t="s">
        <v>24</v>
      </c>
      <c r="I20" s="5" t="s">
        <v>24</v>
      </c>
    </row>
    <row r="21" spans="1:14" x14ac:dyDescent="0.15">
      <c r="A21" s="1">
        <v>1000</v>
      </c>
      <c r="B21" s="34">
        <v>0.107</v>
      </c>
      <c r="C21" s="35">
        <v>8.82</v>
      </c>
      <c r="D21" s="27">
        <f t="shared" si="0"/>
        <v>6283.1853071795858</v>
      </c>
      <c r="E21" s="30">
        <f t="shared" si="1"/>
        <v>82.040779448589461</v>
      </c>
    </row>
    <row r="22" spans="1:14" x14ac:dyDescent="0.15">
      <c r="A22" s="1">
        <v>2000</v>
      </c>
      <c r="B22" s="34">
        <v>6.2E-2</v>
      </c>
      <c r="C22" s="35">
        <v>9.7799999999999994</v>
      </c>
      <c r="D22" s="27">
        <f t="shared" si="0"/>
        <v>12566.370614359172</v>
      </c>
      <c r="E22" s="30">
        <f t="shared" si="1"/>
        <v>157.53894188484861</v>
      </c>
    </row>
    <row r="40" spans="1:18" x14ac:dyDescent="0.15">
      <c r="A40" s="10" t="s">
        <v>44</v>
      </c>
      <c r="B40" s="5"/>
    </row>
    <row r="41" spans="1:18" x14ac:dyDescent="0.15">
      <c r="A41" s="69" t="s">
        <v>83</v>
      </c>
      <c r="B41" s="70"/>
      <c r="C41" s="70"/>
      <c r="D41" s="70"/>
      <c r="E41" s="70"/>
      <c r="F41" s="70"/>
      <c r="G41" s="70"/>
      <c r="H41" s="70"/>
      <c r="I41" s="70"/>
      <c r="J41" s="71"/>
    </row>
    <row r="42" spans="1:18" x14ac:dyDescent="0.15">
      <c r="A42" s="72"/>
      <c r="B42" s="73"/>
      <c r="C42" s="73"/>
      <c r="D42" s="73"/>
      <c r="E42" s="73"/>
      <c r="F42" s="73"/>
      <c r="G42" s="73"/>
      <c r="H42" s="73"/>
      <c r="I42" s="73"/>
      <c r="J42" s="74"/>
    </row>
    <row r="43" spans="1:18" x14ac:dyDescent="0.15">
      <c r="A43" s="72"/>
      <c r="B43" s="73"/>
      <c r="C43" s="73"/>
      <c r="D43" s="73"/>
      <c r="E43" s="73"/>
      <c r="F43" s="73"/>
      <c r="G43" s="73"/>
      <c r="H43" s="73"/>
      <c r="I43" s="73"/>
      <c r="J43" s="74"/>
    </row>
    <row r="44" spans="1:18" x14ac:dyDescent="0.15">
      <c r="A44" s="75"/>
      <c r="B44" s="76"/>
      <c r="C44" s="76"/>
      <c r="D44" s="76"/>
      <c r="E44" s="76"/>
      <c r="F44" s="76"/>
      <c r="G44" s="76"/>
      <c r="H44" s="76"/>
      <c r="I44" s="76"/>
      <c r="J44" s="77"/>
    </row>
    <row r="47" spans="1:18" ht="14.25" x14ac:dyDescent="0.15">
      <c r="A47" s="17" t="s">
        <v>50</v>
      </c>
    </row>
    <row r="48" spans="1:18" s="3" customFormat="1" ht="35.25" x14ac:dyDescent="0.15">
      <c r="A48" s="15" t="s">
        <v>0</v>
      </c>
      <c r="B48" s="15" t="s">
        <v>38</v>
      </c>
      <c r="C48" s="15" t="s">
        <v>37</v>
      </c>
      <c r="D48" s="15" t="s">
        <v>10</v>
      </c>
      <c r="E48" s="15" t="s">
        <v>47</v>
      </c>
      <c r="F48" s="15" t="s">
        <v>12</v>
      </c>
      <c r="G48" s="14" t="s">
        <v>42</v>
      </c>
      <c r="H48" s="15" t="s">
        <v>23</v>
      </c>
      <c r="I48" s="15" t="s">
        <v>22</v>
      </c>
      <c r="J48" s="15" t="s">
        <v>19</v>
      </c>
      <c r="K48" s="18"/>
      <c r="L48" s="18"/>
      <c r="M48" s="18"/>
      <c r="N48" s="18"/>
      <c r="O48" s="18"/>
      <c r="P48" s="18"/>
      <c r="Q48" s="18"/>
      <c r="R48" s="18"/>
    </row>
    <row r="49" spans="1:13" x14ac:dyDescent="0.15">
      <c r="A49" s="1">
        <v>200</v>
      </c>
      <c r="B49" s="34">
        <v>0.20399999999999999</v>
      </c>
      <c r="C49" s="36">
        <v>0.38</v>
      </c>
      <c r="D49" s="27">
        <f>2*PI()*A49</f>
        <v>1256.6370614359173</v>
      </c>
      <c r="E49" s="28">
        <f>C49/B49</f>
        <v>1.8627450980392157</v>
      </c>
      <c r="F49" s="8">
        <f>LINEST(E49:E52,D49:D52)</f>
        <v>1.3683206087960814E-3</v>
      </c>
      <c r="G49" s="1">
        <f>2*SQRT(a_1*a_2/((a_1+a_2)^2+(__ri1+__ri2)^2))</f>
        <v>0.47086175761666588</v>
      </c>
      <c r="H49" s="26">
        <f>F49</f>
        <v>1.3683206087960814E-3</v>
      </c>
      <c r="I49" s="8">
        <f>2*mu0*SQRT(a_1*a_2)/L49*((1-L49^2/2)*Ellip_F(meioPi,L49)-Ellip_E(meioPi,L49))*N_1*N_2</f>
        <v>1.4522769375798512E-3</v>
      </c>
      <c r="J49" s="9">
        <f>I49/H49-1</f>
        <v>6.1357205499988021E-2</v>
      </c>
      <c r="L49" s="64">
        <f>2*SQRT(a_1*a_2/(a_1+a_2)^2)</f>
        <v>0.64504087578466407</v>
      </c>
      <c r="M49" s="2">
        <f>PI()/2</f>
        <v>1.5707963267948966</v>
      </c>
    </row>
    <row r="50" spans="1:13" x14ac:dyDescent="0.15">
      <c r="A50" s="1">
        <v>500</v>
      </c>
      <c r="B50" s="34">
        <v>0.161</v>
      </c>
      <c r="C50" s="36">
        <v>0.74</v>
      </c>
      <c r="D50" s="27">
        <f t="shared" ref="D50:D52" si="2">2*PI()*A50</f>
        <v>3141.5926535897929</v>
      </c>
      <c r="E50" s="28">
        <f t="shared" ref="E50:E52" si="3">C50/B50</f>
        <v>4.5962732919254661</v>
      </c>
      <c r="H50" s="5" t="s">
        <v>24</v>
      </c>
      <c r="I50" s="5" t="s">
        <v>24</v>
      </c>
    </row>
    <row r="51" spans="1:13" x14ac:dyDescent="0.15">
      <c r="A51" s="1">
        <v>1000</v>
      </c>
      <c r="B51" s="34">
        <v>0.106</v>
      </c>
      <c r="C51" s="36">
        <v>0.96</v>
      </c>
      <c r="D51" s="27">
        <f t="shared" si="2"/>
        <v>6283.1853071795858</v>
      </c>
      <c r="E51" s="28">
        <f t="shared" si="3"/>
        <v>9.0566037735849054</v>
      </c>
      <c r="J51" s="4"/>
    </row>
    <row r="52" spans="1:13" x14ac:dyDescent="0.15">
      <c r="A52" s="1">
        <v>2000</v>
      </c>
      <c r="B52" s="34">
        <v>6.0999999999999999E-2</v>
      </c>
      <c r="C52" s="36">
        <v>1.06</v>
      </c>
      <c r="D52" s="27">
        <f t="shared" si="2"/>
        <v>12566.370614359172</v>
      </c>
      <c r="E52" s="28">
        <f t="shared" si="3"/>
        <v>17.377049180327869</v>
      </c>
      <c r="J52" s="4"/>
    </row>
    <row r="70" spans="1:10" x14ac:dyDescent="0.15">
      <c r="A70" s="10" t="s">
        <v>44</v>
      </c>
      <c r="B70" s="5"/>
    </row>
    <row r="71" spans="1:10" x14ac:dyDescent="0.15">
      <c r="A71" s="69" t="s">
        <v>84</v>
      </c>
      <c r="B71" s="70"/>
      <c r="C71" s="70"/>
      <c r="D71" s="70"/>
      <c r="E71" s="70"/>
      <c r="F71" s="70"/>
      <c r="G71" s="70"/>
      <c r="H71" s="70"/>
      <c r="I71" s="70"/>
      <c r="J71" s="71"/>
    </row>
    <row r="72" spans="1:10" x14ac:dyDescent="0.15">
      <c r="A72" s="72"/>
      <c r="B72" s="73"/>
      <c r="C72" s="73"/>
      <c r="D72" s="73"/>
      <c r="E72" s="73"/>
      <c r="F72" s="73"/>
      <c r="G72" s="73"/>
      <c r="H72" s="73"/>
      <c r="I72" s="73"/>
      <c r="J72" s="74"/>
    </row>
    <row r="73" spans="1:10" x14ac:dyDescent="0.15">
      <c r="A73" s="72"/>
      <c r="B73" s="73"/>
      <c r="C73" s="73"/>
      <c r="D73" s="73"/>
      <c r="E73" s="73"/>
      <c r="F73" s="73"/>
      <c r="G73" s="73"/>
      <c r="H73" s="73"/>
      <c r="I73" s="73"/>
      <c r="J73" s="74"/>
    </row>
    <row r="74" spans="1:10" x14ac:dyDescent="0.15">
      <c r="A74" s="75"/>
      <c r="B74" s="76"/>
      <c r="C74" s="76"/>
      <c r="D74" s="76"/>
      <c r="E74" s="76"/>
      <c r="F74" s="76"/>
      <c r="G74" s="76"/>
      <c r="H74" s="76"/>
      <c r="I74" s="76"/>
      <c r="J74" s="77"/>
    </row>
    <row r="75" spans="1:10" x14ac:dyDescent="0.15">
      <c r="A75" s="10"/>
      <c r="B75" s="5"/>
    </row>
    <row r="76" spans="1:10" ht="14.25" x14ac:dyDescent="0.15">
      <c r="A76" s="17" t="s">
        <v>20</v>
      </c>
    </row>
    <row r="79" spans="1:10" ht="24" x14ac:dyDescent="0.15">
      <c r="B79" s="15" t="s">
        <v>35</v>
      </c>
      <c r="C79" s="15" t="s">
        <v>19</v>
      </c>
    </row>
    <row r="80" spans="1:10" x14ac:dyDescent="0.15">
      <c r="A80" s="65">
        <f>(I49)/(N_2*PI()*((a_2)^2))</f>
        <v>1.237732398722073E-3</v>
      </c>
      <c r="B80" s="26">
        <f>(200*4*PI()*10^(-7)*(a_1)^2)/(2*(((a_1)^3)))</f>
        <v>1.2293990235823515E-3</v>
      </c>
      <c r="C80" s="9">
        <f>B80/A80-1</f>
        <v>-6.7327761221451787E-3</v>
      </c>
    </row>
    <row r="81" spans="1:10" x14ac:dyDescent="0.15">
      <c r="A81" s="66" t="s">
        <v>25</v>
      </c>
      <c r="B81" s="5" t="s">
        <v>25</v>
      </c>
    </row>
    <row r="82" spans="1:10" x14ac:dyDescent="0.15">
      <c r="A82" s="10"/>
      <c r="B82" s="5"/>
    </row>
    <row r="83" spans="1:10" x14ac:dyDescent="0.15">
      <c r="A83" s="19" t="s">
        <v>44</v>
      </c>
      <c r="B83" s="5"/>
    </row>
    <row r="84" spans="1:10" x14ac:dyDescent="0.15">
      <c r="A84" s="69" t="s">
        <v>85</v>
      </c>
      <c r="B84" s="70"/>
      <c r="C84" s="70"/>
      <c r="D84" s="70"/>
      <c r="E84" s="70"/>
      <c r="F84" s="70"/>
      <c r="G84" s="70"/>
      <c r="H84" s="70"/>
      <c r="I84" s="70"/>
      <c r="J84" s="71"/>
    </row>
    <row r="85" spans="1:10" x14ac:dyDescent="0.15">
      <c r="A85" s="72"/>
      <c r="B85" s="73"/>
      <c r="C85" s="73"/>
      <c r="D85" s="73"/>
      <c r="E85" s="73"/>
      <c r="F85" s="73"/>
      <c r="G85" s="73"/>
      <c r="H85" s="73"/>
      <c r="I85" s="73"/>
      <c r="J85" s="74"/>
    </row>
    <row r="86" spans="1:10" x14ac:dyDescent="0.15">
      <c r="A86" s="72"/>
      <c r="B86" s="73"/>
      <c r="C86" s="73"/>
      <c r="D86" s="73"/>
      <c r="E86" s="73"/>
      <c r="F86" s="73"/>
      <c r="G86" s="73"/>
      <c r="H86" s="73"/>
      <c r="I86" s="73"/>
      <c r="J86" s="74"/>
    </row>
    <row r="87" spans="1:10" x14ac:dyDescent="0.15">
      <c r="A87" s="75"/>
      <c r="B87" s="76"/>
      <c r="C87" s="76"/>
      <c r="D87" s="76"/>
      <c r="E87" s="76"/>
      <c r="F87" s="76"/>
      <c r="G87" s="76"/>
      <c r="H87" s="76"/>
      <c r="I87" s="76"/>
      <c r="J87" s="77"/>
    </row>
    <row r="88" spans="1:10" x14ac:dyDescent="0.15">
      <c r="A88" s="10"/>
      <c r="B88" s="5"/>
    </row>
    <row r="89" spans="1:10" x14ac:dyDescent="0.15">
      <c r="A89" s="10"/>
      <c r="B89" s="5"/>
    </row>
    <row r="90" spans="1:10" ht="14.25" x14ac:dyDescent="0.15">
      <c r="A90" s="17" t="s">
        <v>26</v>
      </c>
      <c r="B90" s="5"/>
    </row>
    <row r="91" spans="1:10" x14ac:dyDescent="0.15">
      <c r="A91" s="10"/>
      <c r="B91" s="5"/>
    </row>
    <row r="92" spans="1:10" x14ac:dyDescent="0.15">
      <c r="A92" s="19" t="s">
        <v>44</v>
      </c>
      <c r="B92" s="5"/>
    </row>
    <row r="93" spans="1:10" ht="12.6" customHeight="1" x14ac:dyDescent="0.15">
      <c r="A93" s="78" t="s">
        <v>86</v>
      </c>
      <c r="B93" s="79"/>
      <c r="C93" s="79"/>
      <c r="D93" s="79"/>
      <c r="E93" s="79"/>
      <c r="F93" s="79"/>
      <c r="G93" s="79"/>
      <c r="H93" s="79"/>
      <c r="I93" s="79"/>
      <c r="J93" s="80"/>
    </row>
    <row r="94" spans="1:10" x14ac:dyDescent="0.15">
      <c r="A94" s="81"/>
      <c r="B94" s="82"/>
      <c r="C94" s="82"/>
      <c r="D94" s="82"/>
      <c r="E94" s="82"/>
      <c r="F94" s="82"/>
      <c r="G94" s="82"/>
      <c r="H94" s="82"/>
      <c r="I94" s="82"/>
      <c r="J94" s="83"/>
    </row>
    <row r="95" spans="1:10" x14ac:dyDescent="0.15">
      <c r="A95" s="81"/>
      <c r="B95" s="82"/>
      <c r="C95" s="82"/>
      <c r="D95" s="82"/>
      <c r="E95" s="82"/>
      <c r="F95" s="82"/>
      <c r="G95" s="82"/>
      <c r="H95" s="82"/>
      <c r="I95" s="82"/>
      <c r="J95" s="83"/>
    </row>
    <row r="96" spans="1:10" x14ac:dyDescent="0.15">
      <c r="A96" s="84"/>
      <c r="B96" s="85"/>
      <c r="C96" s="85"/>
      <c r="D96" s="85"/>
      <c r="E96" s="85"/>
      <c r="F96" s="85"/>
      <c r="G96" s="85"/>
      <c r="H96" s="85"/>
      <c r="I96" s="85"/>
      <c r="J96" s="86"/>
    </row>
    <row r="98" spans="1:19" ht="14.25" x14ac:dyDescent="0.15">
      <c r="A98" s="17" t="s">
        <v>36</v>
      </c>
    </row>
    <row r="100" spans="1:19" x14ac:dyDescent="0.15">
      <c r="A100" s="16" t="s">
        <v>31</v>
      </c>
      <c r="B100" s="37">
        <v>2000</v>
      </c>
      <c r="C100" s="1" t="s">
        <v>34</v>
      </c>
    </row>
    <row r="101" spans="1:19" x14ac:dyDescent="0.15">
      <c r="A101" s="16" t="s">
        <v>32</v>
      </c>
      <c r="B101" s="38">
        <v>6.0999999999999999E-2</v>
      </c>
      <c r="C101" s="1" t="s">
        <v>33</v>
      </c>
    </row>
    <row r="103" spans="1:19" ht="35.25" x14ac:dyDescent="0.15">
      <c r="A103" s="14" t="s">
        <v>30</v>
      </c>
      <c r="B103" s="14" t="s">
        <v>29</v>
      </c>
      <c r="C103" s="14" t="s">
        <v>37</v>
      </c>
      <c r="D103" s="15" t="s">
        <v>46</v>
      </c>
      <c r="K103" s="2" t="s">
        <v>27</v>
      </c>
      <c r="L103" s="2" t="s">
        <v>43</v>
      </c>
      <c r="M103" s="2" t="s">
        <v>40</v>
      </c>
      <c r="O103" s="2" t="s">
        <v>28</v>
      </c>
      <c r="P103" s="2" t="s">
        <v>43</v>
      </c>
      <c r="Q103" s="2" t="s">
        <v>41</v>
      </c>
      <c r="R103" s="2" t="s">
        <v>42</v>
      </c>
    </row>
    <row r="104" spans="1:19" x14ac:dyDescent="0.15">
      <c r="A104" s="1">
        <v>0</v>
      </c>
      <c r="B104" s="1">
        <v>0</v>
      </c>
      <c r="C104" s="23">
        <v>1.0620000000000001</v>
      </c>
      <c r="D104" s="6">
        <f>C104/$C$104</f>
        <v>1</v>
      </c>
      <c r="K104" s="2">
        <v>0</v>
      </c>
      <c r="L104" s="67">
        <f t="shared" ref="L104:L114" si="4">M104/$M$104</f>
        <v>1</v>
      </c>
      <c r="M104" s="67">
        <f t="shared" ref="M104:M134" si="5">mu0/2*a_1^2/(a_1^2+K104^2)^1.5*N_1</f>
        <v>1.2293990235823506E-3</v>
      </c>
      <c r="N104" s="64"/>
      <c r="O104" s="64">
        <v>1.0000000000000001E-5</v>
      </c>
      <c r="P104" s="68">
        <f t="shared" ref="P104:P124" si="6">Q104/$Q$104</f>
        <v>1</v>
      </c>
      <c r="Q104" s="67">
        <f t="shared" ref="Q104:Q124" si="7">mu0/2/PI()/(a_1^2-O104^2)*((a_1-O104)*Ellip_F(meioPi,R104)+(a_1+O104)*Ellip_E(meioPi,R104))</f>
        <v>6.146995162037304E-6</v>
      </c>
      <c r="R104" s="2">
        <f t="shared" ref="R104:R124" si="8">2*SQRT(a_1*O104)/(a_1+O104)</f>
        <v>1.97801239878579E-2</v>
      </c>
    </row>
    <row r="105" spans="1:19" x14ac:dyDescent="0.15">
      <c r="A105" s="1">
        <v>0</v>
      </c>
      <c r="B105" s="1">
        <v>0.02</v>
      </c>
      <c r="C105" s="24">
        <v>1.1060000000000001</v>
      </c>
      <c r="D105" s="6">
        <f>C105/$C$104</f>
        <v>1.0414312617702448</v>
      </c>
      <c r="K105" s="2">
        <v>0.01</v>
      </c>
      <c r="L105" s="67">
        <f t="shared" si="4"/>
        <v>0.98581307984155542</v>
      </c>
      <c r="M105" s="67">
        <f t="shared" si="5"/>
        <v>1.2119576377919181E-3</v>
      </c>
      <c r="N105" s="64"/>
      <c r="O105" s="64">
        <v>5.0000000000000001E-3</v>
      </c>
      <c r="P105" s="68">
        <f t="shared" si="6"/>
        <v>1.0017986263066709</v>
      </c>
      <c r="Q105" s="67">
        <f t="shared" si="7"/>
        <v>6.1580513092427231E-6</v>
      </c>
      <c r="R105" s="2">
        <f t="shared" si="8"/>
        <v>0.42171173972918147</v>
      </c>
    </row>
    <row r="106" spans="1:19" x14ac:dyDescent="0.15">
      <c r="A106" s="1">
        <v>0</v>
      </c>
      <c r="B106" s="1">
        <v>0.04</v>
      </c>
      <c r="C106" s="24">
        <v>1.244</v>
      </c>
      <c r="D106" s="6">
        <f>C106/$C$104</f>
        <v>1.1713747645951036</v>
      </c>
      <c r="K106" s="2">
        <v>0.02</v>
      </c>
      <c r="L106" s="67">
        <f t="shared" si="4"/>
        <v>0.94520340479895171</v>
      </c>
      <c r="M106" s="67">
        <f t="shared" si="5"/>
        <v>1.1620321429465445E-3</v>
      </c>
      <c r="N106" s="64"/>
      <c r="O106" s="64">
        <v>0.01</v>
      </c>
      <c r="P106" s="68">
        <f t="shared" si="6"/>
        <v>1.0072434030351893</v>
      </c>
      <c r="Q106" s="67">
        <f t="shared" si="7"/>
        <v>6.191520325451299E-6</v>
      </c>
      <c r="R106" s="2">
        <f t="shared" si="8"/>
        <v>0.56981703123705008</v>
      </c>
    </row>
    <row r="107" spans="1:19" x14ac:dyDescent="0.15">
      <c r="A107" s="1">
        <v>0</v>
      </c>
      <c r="B107" s="1">
        <v>0.06</v>
      </c>
      <c r="C107" s="24">
        <v>1.5429999999999999</v>
      </c>
      <c r="D107" s="6">
        <f>C107/$C$104</f>
        <v>1.4529190207156308</v>
      </c>
      <c r="K107" s="2">
        <v>0.03</v>
      </c>
      <c r="L107" s="67">
        <f t="shared" si="4"/>
        <v>0.88342737903088842</v>
      </c>
      <c r="M107" s="67">
        <f t="shared" si="5"/>
        <v>1.0860847571864895E-3</v>
      </c>
      <c r="N107" s="64"/>
      <c r="O107" s="64">
        <v>1.4999999999999999E-2</v>
      </c>
      <c r="P107" s="68">
        <f t="shared" si="6"/>
        <v>1.0164844372979773</v>
      </c>
      <c r="Q107" s="67">
        <f t="shared" si="7"/>
        <v>6.2483249183568778E-6</v>
      </c>
      <c r="R107" s="2">
        <f t="shared" si="8"/>
        <v>0.66811137988987246</v>
      </c>
      <c r="S107" s="7"/>
    </row>
    <row r="108" spans="1:19" x14ac:dyDescent="0.15">
      <c r="A108" s="12">
        <v>0</v>
      </c>
      <c r="B108" s="12">
        <v>0.08</v>
      </c>
      <c r="C108" s="25">
        <v>1.879</v>
      </c>
      <c r="D108" s="13">
        <f>C108/$C$104</f>
        <v>1.7693032015065913</v>
      </c>
      <c r="K108" s="2">
        <v>0.04</v>
      </c>
      <c r="L108" s="67">
        <f t="shared" si="4"/>
        <v>0.80756497385416603</v>
      </c>
      <c r="M108" s="67">
        <f t="shared" si="5"/>
        <v>9.9281959033561832E-4</v>
      </c>
      <c r="N108" s="64"/>
      <c r="O108" s="64">
        <v>0.02</v>
      </c>
      <c r="P108" s="68">
        <f t="shared" si="6"/>
        <v>1.0297840157661886</v>
      </c>
      <c r="Q108" s="67">
        <f t="shared" si="7"/>
        <v>6.3300773628581075E-6</v>
      </c>
      <c r="R108" s="2">
        <f t="shared" si="8"/>
        <v>0.73990677104684721</v>
      </c>
      <c r="S108" s="7"/>
    </row>
    <row r="109" spans="1:19" x14ac:dyDescent="0.15">
      <c r="A109" s="1">
        <v>0</v>
      </c>
      <c r="B109" s="1">
        <v>0</v>
      </c>
      <c r="C109" s="24">
        <v>1.0660000000000001</v>
      </c>
      <c r="D109" s="6">
        <f>C109/$C$109</f>
        <v>1</v>
      </c>
      <c r="K109" s="2">
        <v>0.05</v>
      </c>
      <c r="L109" s="67">
        <f t="shared" si="4"/>
        <v>0.72484634282347293</v>
      </c>
      <c r="M109" s="67">
        <f t="shared" si="5"/>
        <v>8.9112538611441539E-4</v>
      </c>
      <c r="N109" s="64"/>
      <c r="O109" s="64">
        <v>2.5000000000000001E-2</v>
      </c>
      <c r="P109" s="68">
        <f t="shared" si="6"/>
        <v>1.0475365229565612</v>
      </c>
      <c r="Q109" s="67">
        <f t="shared" si="7"/>
        <v>6.439201938671361E-6</v>
      </c>
      <c r="R109" s="2">
        <f t="shared" si="8"/>
        <v>0.79472756336482675</v>
      </c>
      <c r="S109" s="7"/>
    </row>
    <row r="110" spans="1:19" x14ac:dyDescent="0.15">
      <c r="A110" s="1">
        <v>0.1</v>
      </c>
      <c r="B110" s="1">
        <v>0</v>
      </c>
      <c r="C110" s="24">
        <v>0.40600000000000003</v>
      </c>
      <c r="D110" s="6">
        <f>C110/$C$109</f>
        <v>0.38086303939962479</v>
      </c>
      <c r="K110" s="2">
        <v>0.06</v>
      </c>
      <c r="L110" s="67">
        <f t="shared" si="4"/>
        <v>0.64139906066012442</v>
      </c>
      <c r="M110" s="67">
        <f t="shared" si="5"/>
        <v>7.8853537890219384E-4</v>
      </c>
      <c r="N110" s="64"/>
      <c r="O110" s="64">
        <v>0.03</v>
      </c>
      <c r="P110" s="68">
        <f t="shared" si="6"/>
        <v>1.0703003265309436</v>
      </c>
      <c r="Q110" s="67">
        <f t="shared" si="7"/>
        <v>6.5791309291126572E-6</v>
      </c>
      <c r="R110" s="2">
        <f t="shared" si="8"/>
        <v>0.83765765888922894</v>
      </c>
      <c r="S110" s="7"/>
    </row>
    <row r="111" spans="1:19" x14ac:dyDescent="0.15">
      <c r="A111" s="1">
        <v>0.2</v>
      </c>
      <c r="B111" s="1">
        <v>0</v>
      </c>
      <c r="C111" s="24">
        <v>0.111</v>
      </c>
      <c r="D111" s="6">
        <f>C111/$C$109</f>
        <v>0.10412757973733583</v>
      </c>
      <c r="K111" s="2">
        <v>7.0000000000000007E-2</v>
      </c>
      <c r="L111" s="67">
        <f t="shared" si="4"/>
        <v>0.56165866149609545</v>
      </c>
      <c r="M111" s="67">
        <f t="shared" si="5"/>
        <v>6.9050261002986967E-4</v>
      </c>
      <c r="N111" s="64"/>
      <c r="O111" s="64">
        <v>3.5000000000000003E-2</v>
      </c>
      <c r="P111" s="68">
        <f t="shared" si="6"/>
        <v>1.0988467636434998</v>
      </c>
      <c r="Q111" s="67">
        <f t="shared" si="7"/>
        <v>6.7546057399369424E-6</v>
      </c>
      <c r="R111" s="2">
        <f t="shared" si="8"/>
        <v>0.87180461682886701</v>
      </c>
      <c r="S111" s="7"/>
    </row>
    <row r="112" spans="1:19" x14ac:dyDescent="0.15">
      <c r="A112" s="1">
        <v>0.3</v>
      </c>
      <c r="B112" s="1">
        <v>0</v>
      </c>
      <c r="C112" s="24">
        <v>4.2000000000000003E-2</v>
      </c>
      <c r="D112" s="6">
        <f>C112/$C$109</f>
        <v>3.9399624765478425E-2</v>
      </c>
      <c r="K112" s="2">
        <v>0.08</v>
      </c>
      <c r="L112" s="67">
        <f t="shared" si="4"/>
        <v>0.48834606399620317</v>
      </c>
      <c r="M112" s="67">
        <f t="shared" si="5"/>
        <v>6.0037217424721632E-4</v>
      </c>
      <c r="N112" s="64"/>
      <c r="O112" s="64">
        <v>0.04</v>
      </c>
      <c r="P112" s="68">
        <f t="shared" si="6"/>
        <v>1.134234961158801</v>
      </c>
      <c r="Q112" s="67">
        <f t="shared" si="7"/>
        <v>6.9721368188567188E-6</v>
      </c>
      <c r="R112" s="2">
        <f t="shared" si="8"/>
        <v>0.89923123621775725</v>
      </c>
      <c r="S112" s="7"/>
    </row>
    <row r="113" spans="1:19" x14ac:dyDescent="0.15">
      <c r="A113" s="1">
        <v>0.4</v>
      </c>
      <c r="B113" s="1">
        <v>0</v>
      </c>
      <c r="C113" s="25">
        <v>2.1999999999999999E-2</v>
      </c>
      <c r="D113" s="6">
        <f>C113/$C$109</f>
        <v>2.0637898686679174E-2</v>
      </c>
      <c r="K113" s="2">
        <v>0.09</v>
      </c>
      <c r="L113" s="67">
        <f t="shared" si="4"/>
        <v>0.42277048770905878</v>
      </c>
      <c r="M113" s="67">
        <f t="shared" si="5"/>
        <v>5.1975362478895101E-4</v>
      </c>
      <c r="N113" s="64"/>
      <c r="O113" s="64">
        <v>4.4999999999999998E-2</v>
      </c>
      <c r="P113" s="68">
        <f t="shared" si="6"/>
        <v>1.1779275196085608</v>
      </c>
      <c r="Q113" s="67">
        <f t="shared" si="7"/>
        <v>7.2407147642644248E-6</v>
      </c>
      <c r="R113" s="2">
        <f t="shared" si="8"/>
        <v>0.92138480482632912</v>
      </c>
      <c r="S113" s="7"/>
    </row>
    <row r="114" spans="1:19" x14ac:dyDescent="0.15">
      <c r="K114" s="2">
        <v>0.1</v>
      </c>
      <c r="L114" s="67">
        <f t="shared" si="4"/>
        <v>0.36523644312846271</v>
      </c>
      <c r="M114" s="67">
        <f t="shared" si="5"/>
        <v>4.4902132655882281E-4</v>
      </c>
      <c r="N114" s="64"/>
      <c r="O114" s="64">
        <v>0.05</v>
      </c>
      <c r="P114" s="68">
        <f t="shared" si="6"/>
        <v>1.2319737079502022</v>
      </c>
      <c r="Q114" s="67">
        <f t="shared" si="7"/>
        <v>7.572936422527052E-6</v>
      </c>
      <c r="R114" s="2">
        <f t="shared" si="8"/>
        <v>0.93932191814859212</v>
      </c>
      <c r="S114" s="7"/>
    </row>
    <row r="115" spans="1:19" x14ac:dyDescent="0.15">
      <c r="K115" s="2">
        <v>0.12</v>
      </c>
      <c r="L115" s="67">
        <f t="shared" ref="L115:L134" si="9">M115/$M$104</f>
        <v>0.27265490527284408</v>
      </c>
      <c r="M115" s="67">
        <f t="shared" si="5"/>
        <v>3.352016743173728E-4</v>
      </c>
      <c r="N115" s="64"/>
      <c r="O115" s="64">
        <v>5.5E-2</v>
      </c>
      <c r="P115" s="68">
        <f t="shared" si="6"/>
        <v>1.2993093872646162</v>
      </c>
      <c r="Q115" s="67">
        <f t="shared" si="7"/>
        <v>7.9868485175052493E-6</v>
      </c>
      <c r="R115" s="2">
        <f t="shared" si="8"/>
        <v>0.95383734347445981</v>
      </c>
      <c r="S115" s="7"/>
    </row>
    <row r="116" spans="1:19" x14ac:dyDescent="0.15">
      <c r="K116" s="2">
        <v>0.14000000000000001</v>
      </c>
      <c r="L116" s="67">
        <f t="shared" si="9"/>
        <v>0.20503462505571513</v>
      </c>
      <c r="M116" s="67">
        <f t="shared" si="5"/>
        <v>2.5206936784406955E-4</v>
      </c>
      <c r="N116" s="64"/>
      <c r="O116" s="64">
        <v>0.06</v>
      </c>
      <c r="P116" s="68">
        <f t="shared" si="6"/>
        <v>1.3842693406325788</v>
      </c>
      <c r="Q116" s="67">
        <f t="shared" si="7"/>
        <v>8.5090969398250308E-6</v>
      </c>
      <c r="R116" s="2">
        <f t="shared" si="8"/>
        <v>0.96554299730808912</v>
      </c>
      <c r="S116" s="7"/>
    </row>
    <row r="117" spans="1:19" x14ac:dyDescent="0.15">
      <c r="K117" s="2">
        <v>0.16</v>
      </c>
      <c r="L117" s="67">
        <f t="shared" si="9"/>
        <v>0.15603746111582872</v>
      </c>
      <c r="M117" s="67">
        <f t="shared" si="5"/>
        <v>1.9183230233806885E-4</v>
      </c>
      <c r="N117" s="64"/>
      <c r="O117" s="64">
        <v>6.5000000000000002E-2</v>
      </c>
      <c r="P117" s="68">
        <f t="shared" si="6"/>
        <v>1.493510001495344</v>
      </c>
      <c r="Q117" s="67">
        <f t="shared" si="7"/>
        <v>9.1805987536462055E-6</v>
      </c>
      <c r="R117" s="2">
        <f t="shared" si="8"/>
        <v>0.97491890913032941</v>
      </c>
      <c r="S117" s="7"/>
    </row>
    <row r="118" spans="1:19" x14ac:dyDescent="0.15">
      <c r="K118" s="2">
        <v>0.18</v>
      </c>
      <c r="L118" s="67">
        <f t="shared" si="9"/>
        <v>0.12040786659742726</v>
      </c>
      <c r="M118" s="67">
        <f t="shared" si="5"/>
        <v>1.4802931362651101E-4</v>
      </c>
      <c r="N118" s="64"/>
      <c r="O118" s="64">
        <v>7.0000000000000007E-2</v>
      </c>
      <c r="P118" s="68">
        <f t="shared" si="6"/>
        <v>1.6377850792869415</v>
      </c>
      <c r="Q118" s="67">
        <f t="shared" si="7"/>
        <v>1.0067456958833711E-5</v>
      </c>
      <c r="R118" s="2">
        <f t="shared" si="8"/>
        <v>0.98234747853493287</v>
      </c>
      <c r="S118" s="7"/>
    </row>
    <row r="119" spans="1:19" x14ac:dyDescent="0.15">
      <c r="K119" s="2">
        <v>0.2</v>
      </c>
      <c r="L119" s="67">
        <f t="shared" si="9"/>
        <v>9.4250749081047358E-2</v>
      </c>
      <c r="M119" s="67">
        <f t="shared" si="5"/>
        <v>1.1587177889214475E-4</v>
      </c>
      <c r="N119" s="64"/>
      <c r="O119" s="64">
        <v>7.4999999999999997E-2</v>
      </c>
      <c r="P119" s="68">
        <f t="shared" si="6"/>
        <v>1.8356634537153798</v>
      </c>
      <c r="Q119" s="67">
        <f t="shared" si="7"/>
        <v>1.1283814369117128E-5</v>
      </c>
      <c r="R119" s="2">
        <f t="shared" si="8"/>
        <v>0.9881372766695935</v>
      </c>
      <c r="S119" s="7"/>
    </row>
    <row r="120" spans="1:19" x14ac:dyDescent="0.15">
      <c r="K120" s="2">
        <v>0.22</v>
      </c>
      <c r="L120" s="67">
        <f t="shared" si="9"/>
        <v>7.4808890964383812E-2</v>
      </c>
      <c r="M120" s="67">
        <f t="shared" si="5"/>
        <v>9.1969977506891986E-5</v>
      </c>
      <c r="N120" s="64"/>
      <c r="O120" s="64">
        <v>0.08</v>
      </c>
      <c r="P120" s="68">
        <f t="shared" si="6"/>
        <v>2.122229977735965</v>
      </c>
      <c r="Q120" s="67">
        <f t="shared" si="7"/>
        <v>1.3045337405873512E-5</v>
      </c>
      <c r="R120" s="2">
        <f t="shared" si="8"/>
        <v>0.99254004075864499</v>
      </c>
      <c r="S120" s="7"/>
    </row>
    <row r="121" spans="1:19" x14ac:dyDescent="0.15">
      <c r="K121" s="2">
        <v>0.24</v>
      </c>
      <c r="L121" s="67">
        <f t="shared" si="9"/>
        <v>6.0162761145239059E-2</v>
      </c>
      <c r="M121" s="67">
        <f t="shared" si="5"/>
        <v>7.3964039807975084E-5</v>
      </c>
      <c r="N121" s="64"/>
      <c r="O121" s="64">
        <v>8.5000000000000006E-2</v>
      </c>
      <c r="P121" s="68">
        <f t="shared" si="6"/>
        <v>2.5728393801887219</v>
      </c>
      <c r="Q121" s="67">
        <f t="shared" si="7"/>
        <v>1.581523122271913E-5</v>
      </c>
      <c r="R121" s="2">
        <f t="shared" si="8"/>
        <v>0.99576308931862811</v>
      </c>
      <c r="S121" s="7"/>
    </row>
    <row r="122" spans="1:19" x14ac:dyDescent="0.15">
      <c r="K122" s="2">
        <v>0.26</v>
      </c>
      <c r="L122" s="67">
        <f t="shared" si="9"/>
        <v>4.8978802713564321E-2</v>
      </c>
      <c r="M122" s="67">
        <f t="shared" si="5"/>
        <v>6.0214492232288563E-5</v>
      </c>
      <c r="N122" s="64"/>
      <c r="O122" s="64">
        <v>0.09</v>
      </c>
      <c r="P122" s="68">
        <f t="shared" si="6"/>
        <v>3.3848084924500519</v>
      </c>
      <c r="Q122" s="67">
        <f t="shared" si="7"/>
        <v>2.080640142751325E-5</v>
      </c>
      <c r="R122" s="2">
        <f t="shared" si="8"/>
        <v>0.99797857020020431</v>
      </c>
      <c r="S122" s="7"/>
    </row>
    <row r="123" spans="1:19" x14ac:dyDescent="0.15">
      <c r="K123" s="2">
        <v>0.28000000000000003</v>
      </c>
      <c r="L123" s="67">
        <f t="shared" si="9"/>
        <v>4.0325463584047178E-2</v>
      </c>
      <c r="M123" s="67">
        <f t="shared" si="5"/>
        <v>4.9576085555733241E-5</v>
      </c>
      <c r="N123" s="64"/>
      <c r="O123" s="64">
        <v>9.5000000000000001E-2</v>
      </c>
      <c r="P123" s="68">
        <f t="shared" si="6"/>
        <v>5.2965097080262158</v>
      </c>
      <c r="Q123" s="67">
        <f t="shared" si="7"/>
        <v>3.2557619550920759E-5</v>
      </c>
      <c r="R123" s="2">
        <f t="shared" si="8"/>
        <v>0.99933046572404727</v>
      </c>
      <c r="S123" s="7"/>
    </row>
    <row r="124" spans="1:19" x14ac:dyDescent="0.15">
      <c r="K124" s="2">
        <v>0.3</v>
      </c>
      <c r="L124" s="67">
        <f t="shared" si="9"/>
        <v>3.3545859907403483E-2</v>
      </c>
      <c r="M124" s="67">
        <f t="shared" si="5"/>
        <v>4.1241247415392163E-5</v>
      </c>
      <c r="N124" s="64"/>
      <c r="O124" s="64">
        <v>0.1</v>
      </c>
      <c r="P124" s="68">
        <f t="shared" si="6"/>
        <v>15.639451687319118</v>
      </c>
      <c r="Q124" s="67">
        <f t="shared" si="7"/>
        <v>9.6135633858866775E-5</v>
      </c>
      <c r="R124" s="2">
        <f t="shared" si="8"/>
        <v>0.99993997670668833</v>
      </c>
      <c r="S124" s="7"/>
    </row>
    <row r="125" spans="1:19" x14ac:dyDescent="0.15">
      <c r="K125" s="2">
        <v>0.32</v>
      </c>
      <c r="L125" s="67">
        <f t="shared" si="9"/>
        <v>2.8171507319814149E-2</v>
      </c>
      <c r="M125" s="67">
        <f t="shared" si="5"/>
        <v>3.4634023591822561E-5</v>
      </c>
      <c r="N125" s="64"/>
      <c r="O125" s="64"/>
      <c r="P125" s="64"/>
      <c r="Q125" s="64"/>
    </row>
    <row r="126" spans="1:19" x14ac:dyDescent="0.15">
      <c r="K126" s="2">
        <v>0.34</v>
      </c>
      <c r="L126" s="67">
        <f t="shared" si="9"/>
        <v>2.3864204270746165E-2</v>
      </c>
      <c r="M126" s="67">
        <f t="shared" si="5"/>
        <v>2.9338629429025098E-5</v>
      </c>
      <c r="N126" s="64"/>
      <c r="O126" s="64"/>
      <c r="P126" s="64"/>
      <c r="Q126" s="64"/>
    </row>
    <row r="127" spans="1:19" x14ac:dyDescent="0.15">
      <c r="K127" s="2">
        <v>0.36</v>
      </c>
      <c r="L127" s="67">
        <f t="shared" si="9"/>
        <v>2.0376779232256118E-2</v>
      </c>
      <c r="M127" s="67">
        <f t="shared" si="5"/>
        <v>2.5051192491888793E-5</v>
      </c>
      <c r="N127" s="64"/>
      <c r="O127" s="64"/>
      <c r="P127" s="64"/>
      <c r="Q127" s="64"/>
    </row>
    <row r="128" spans="1:19" x14ac:dyDescent="0.15">
      <c r="K128" s="2">
        <v>0.38</v>
      </c>
      <c r="L128" s="67">
        <f t="shared" si="9"/>
        <v>1.7526391765340762E-2</v>
      </c>
      <c r="M128" s="67">
        <f t="shared" si="5"/>
        <v>2.1546928923231684E-5</v>
      </c>
      <c r="N128" s="64"/>
      <c r="O128" s="64"/>
      <c r="P128" s="64"/>
      <c r="Q128" s="64"/>
    </row>
    <row r="129" spans="1:17" x14ac:dyDescent="0.15">
      <c r="K129" s="2">
        <v>0.4</v>
      </c>
      <c r="L129" s="67">
        <f t="shared" si="9"/>
        <v>1.5176200621729337E-2</v>
      </c>
      <c r="M129" s="67">
        <f t="shared" si="5"/>
        <v>1.865760622604391E-5</v>
      </c>
      <c r="N129" s="64"/>
      <c r="O129" s="64"/>
      <c r="P129" s="64"/>
      <c r="Q129" s="64"/>
    </row>
    <row r="130" spans="1:17" x14ac:dyDescent="0.15">
      <c r="K130" s="2">
        <v>0.42</v>
      </c>
      <c r="L130" s="67">
        <f t="shared" si="9"/>
        <v>1.3222642313903944E-2</v>
      </c>
      <c r="M130" s="67">
        <f t="shared" si="5"/>
        <v>1.6255903549892183E-5</v>
      </c>
      <c r="N130" s="64"/>
      <c r="O130" s="64"/>
      <c r="P130" s="64"/>
      <c r="Q130" s="64"/>
    </row>
    <row r="131" spans="1:17" x14ac:dyDescent="0.15">
      <c r="K131" s="2">
        <v>0.44</v>
      </c>
      <c r="L131" s="67">
        <f t="shared" si="9"/>
        <v>1.1586504182447088E-2</v>
      </c>
      <c r="M131" s="67">
        <f t="shared" si="5"/>
        <v>1.4244436928633273E-5</v>
      </c>
      <c r="N131" s="64"/>
      <c r="O131" s="64"/>
      <c r="P131" s="64"/>
      <c r="Q131" s="64"/>
    </row>
    <row r="132" spans="1:17" x14ac:dyDescent="0.15">
      <c r="K132" s="2">
        <v>0.46</v>
      </c>
      <c r="L132" s="67">
        <f t="shared" si="9"/>
        <v>1.0206589372199757E-2</v>
      </c>
      <c r="M132" s="67">
        <f t="shared" si="5"/>
        <v>1.254797100828838E-5</v>
      </c>
      <c r="N132" s="64"/>
      <c r="O132" s="64"/>
      <c r="P132" s="64"/>
      <c r="Q132" s="64"/>
    </row>
    <row r="133" spans="1:17" x14ac:dyDescent="0.15">
      <c r="K133" s="2">
        <v>0.48</v>
      </c>
      <c r="L133" s="67">
        <f t="shared" si="9"/>
        <v>9.0351710663151008E-3</v>
      </c>
      <c r="M133" s="67">
        <f t="shared" si="5"/>
        <v>1.1107830486827292E-5</v>
      </c>
      <c r="N133" s="64"/>
      <c r="O133" s="64"/>
      <c r="P133" s="64"/>
      <c r="Q133" s="64"/>
    </row>
    <row r="134" spans="1:17" x14ac:dyDescent="0.15">
      <c r="K134" s="2">
        <v>0.5</v>
      </c>
      <c r="L134" s="67">
        <f t="shared" si="9"/>
        <v>8.0346952687907532E-3</v>
      </c>
      <c r="M134" s="67">
        <f t="shared" si="5"/>
        <v>9.8778465182330849E-6</v>
      </c>
      <c r="N134" s="64"/>
      <c r="O134" s="64"/>
      <c r="P134" s="64"/>
      <c r="Q134" s="64"/>
    </row>
    <row r="138" spans="1:17" x14ac:dyDescent="0.15">
      <c r="A138" s="19" t="s">
        <v>44</v>
      </c>
      <c r="B138" s="5"/>
    </row>
    <row r="139" spans="1:17" x14ac:dyDescent="0.15">
      <c r="A139" s="78" t="s">
        <v>87</v>
      </c>
      <c r="B139" s="79"/>
      <c r="C139" s="79"/>
      <c r="D139" s="79"/>
      <c r="E139" s="79"/>
      <c r="F139" s="79"/>
      <c r="G139" s="79"/>
      <c r="H139" s="79"/>
      <c r="I139" s="79"/>
      <c r="J139" s="80"/>
    </row>
    <row r="140" spans="1:17" x14ac:dyDescent="0.15">
      <c r="A140" s="81"/>
      <c r="B140" s="82"/>
      <c r="C140" s="82"/>
      <c r="D140" s="82"/>
      <c r="E140" s="82"/>
      <c r="F140" s="82"/>
      <c r="G140" s="82"/>
      <c r="H140" s="82"/>
      <c r="I140" s="82"/>
      <c r="J140" s="83"/>
    </row>
    <row r="141" spans="1:17" x14ac:dyDescent="0.15">
      <c r="A141" s="81"/>
      <c r="B141" s="82"/>
      <c r="C141" s="82"/>
      <c r="D141" s="82"/>
      <c r="E141" s="82"/>
      <c r="F141" s="82"/>
      <c r="G141" s="82"/>
      <c r="H141" s="82"/>
      <c r="I141" s="82"/>
      <c r="J141" s="83"/>
    </row>
    <row r="142" spans="1:17" x14ac:dyDescent="0.15">
      <c r="A142" s="84"/>
      <c r="B142" s="85"/>
      <c r="C142" s="85"/>
      <c r="D142" s="85"/>
      <c r="E142" s="85"/>
      <c r="F142" s="85"/>
      <c r="G142" s="85"/>
      <c r="H142" s="85"/>
      <c r="I142" s="85"/>
      <c r="J142" s="86"/>
    </row>
  </sheetData>
  <mergeCells count="5">
    <mergeCell ref="A41:J44"/>
    <mergeCell ref="A84:J87"/>
    <mergeCell ref="A93:J96"/>
    <mergeCell ref="A139:J142"/>
    <mergeCell ref="A71:J74"/>
  </mergeCells>
  <phoneticPr fontId="0" type="noConversion"/>
  <pageMargins left="0.59" right="0.56999999999999995" top="0.54" bottom="1" header="0" footer="0"/>
  <pageSetup paperSize="9" orientation="portrait" horizontalDpi="4294967293" r:id="rId1"/>
  <headerFooter alignWithMargins="0"/>
  <rowBreaks count="2" manualBreakCount="2">
    <brk id="46" max="16383" man="1"/>
    <brk id="97" max="16383" man="1"/>
  </rowBreaks>
  <drawing r:id="rId2"/>
  <legacyDrawing r:id="rId3"/>
  <oleObjects>
    <mc:AlternateContent xmlns:mc="http://schemas.openxmlformats.org/markup-compatibility/2006">
      <mc:Choice Requires="x14">
        <oleObject progId="Equation.DSMT4" shapeId="1028" r:id="rId4">
          <objectPr defaultSize="0" autoPict="0" r:id="rId5">
            <anchor moveWithCells="1" sizeWithCells="1">
              <from>
                <xdr:col>0</xdr:col>
                <xdr:colOff>31750</xdr:colOff>
                <xdr:row>76</xdr:row>
                <xdr:rowOff>57150</xdr:rowOff>
              </from>
              <to>
                <xdr:col>1</xdr:col>
                <xdr:colOff>69850</xdr:colOff>
                <xdr:row>79</xdr:row>
                <xdr:rowOff>19050</xdr:rowOff>
              </to>
            </anchor>
          </objectPr>
        </oleObject>
      </mc:Choice>
      <mc:Fallback>
        <oleObject progId="Equation.DSMT4" shapeId="1028" r:id="rId4"/>
      </mc:Fallback>
    </mc:AlternateContent>
    <mc:AlternateContent xmlns:mc="http://schemas.openxmlformats.org/markup-compatibility/2006">
      <mc:Choice Requires="x14">
        <oleObject progId="Excel.Sheet.8" shapeId="1034" r:id="rId6">
          <objectPr locked="0" defaultSize="0" autoPict="0" r:id="rId7">
            <anchor moveWithCells="1" sizeWithCells="1">
              <from>
                <xdr:col>0</xdr:col>
                <xdr:colOff>0</xdr:colOff>
                <xdr:row>0</xdr:row>
                <xdr:rowOff>0</xdr:rowOff>
              </from>
              <to>
                <xdr:col>9</xdr:col>
                <xdr:colOff>622300</xdr:colOff>
                <xdr:row>0</xdr:row>
                <xdr:rowOff>1778000</xdr:rowOff>
              </to>
            </anchor>
          </objectPr>
        </oleObject>
      </mc:Choice>
      <mc:Fallback>
        <oleObject progId="Excel.Sheet.8" shapeId="1034" r:id="rId6"/>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M35"/>
  <sheetViews>
    <sheetView workbookViewId="0">
      <selection activeCell="E27" sqref="E27"/>
    </sheetView>
  </sheetViews>
  <sheetFormatPr defaultRowHeight="12.75" x14ac:dyDescent="0.15"/>
  <sheetData>
    <row r="1" spans="1:9" x14ac:dyDescent="0.15">
      <c r="A1" s="39" t="s">
        <v>70</v>
      </c>
      <c r="B1" s="40" t="s">
        <v>52</v>
      </c>
      <c r="C1" s="41"/>
      <c r="D1" s="41"/>
      <c r="E1" s="41"/>
      <c r="F1" s="41"/>
      <c r="G1" s="42" t="s">
        <v>71</v>
      </c>
      <c r="H1" s="43">
        <v>37476</v>
      </c>
      <c r="I1" s="44" t="s">
        <v>53</v>
      </c>
    </row>
    <row r="2" spans="1:9" x14ac:dyDescent="0.15">
      <c r="A2" s="45" t="s">
        <v>72</v>
      </c>
      <c r="B2" s="46" t="s">
        <v>54</v>
      </c>
      <c r="C2" s="47"/>
      <c r="D2" s="47"/>
      <c r="E2" s="47"/>
      <c r="F2" s="47"/>
      <c r="G2" s="45" t="s">
        <v>73</v>
      </c>
      <c r="H2" s="48" t="s">
        <v>55</v>
      </c>
      <c r="I2" s="49" t="s">
        <v>56</v>
      </c>
    </row>
    <row r="4" spans="1:9" s="50" customFormat="1" ht="18" x14ac:dyDescent="0.2">
      <c r="A4" s="50" t="s">
        <v>74</v>
      </c>
    </row>
    <row r="6" spans="1:9" x14ac:dyDescent="0.15">
      <c r="A6" s="51" t="s">
        <v>57</v>
      </c>
      <c r="B6" s="52"/>
      <c r="C6" s="52"/>
      <c r="D6" s="52"/>
      <c r="E6" s="52"/>
      <c r="F6" s="52"/>
      <c r="G6" s="52"/>
    </row>
    <row r="8" spans="1:9" x14ac:dyDescent="0.15">
      <c r="A8" s="53" t="s">
        <v>75</v>
      </c>
    </row>
    <row r="10" spans="1:9" x14ac:dyDescent="0.15">
      <c r="A10" s="53" t="s">
        <v>76</v>
      </c>
    </row>
    <row r="11" spans="1:9" x14ac:dyDescent="0.15">
      <c r="A11" s="54" t="s">
        <v>58</v>
      </c>
    </row>
    <row r="12" spans="1:9" x14ac:dyDescent="0.15">
      <c r="A12" s="54" t="s">
        <v>59</v>
      </c>
    </row>
    <row r="13" spans="1:9" x14ac:dyDescent="0.15">
      <c r="A13" s="54" t="s">
        <v>60</v>
      </c>
    </row>
    <row r="14" spans="1:9" x14ac:dyDescent="0.15">
      <c r="A14" s="54" t="s">
        <v>61</v>
      </c>
    </row>
    <row r="16" spans="1:9" x14ac:dyDescent="0.15">
      <c r="A16" s="53" t="s">
        <v>77</v>
      </c>
    </row>
    <row r="17" spans="1:7" x14ac:dyDescent="0.15">
      <c r="A17" s="53"/>
    </row>
    <row r="18" spans="1:7" x14ac:dyDescent="0.15">
      <c r="A18" s="53" t="s">
        <v>78</v>
      </c>
    </row>
    <row r="20" spans="1:7" x14ac:dyDescent="0.15">
      <c r="A20" s="51" t="s">
        <v>62</v>
      </c>
      <c r="B20" s="52"/>
      <c r="C20" s="52"/>
      <c r="D20" s="52"/>
      <c r="E20" s="52"/>
      <c r="F20" s="52"/>
      <c r="G20" s="52"/>
    </row>
    <row r="22" spans="1:7" x14ac:dyDescent="0.15">
      <c r="A22" t="s">
        <v>79</v>
      </c>
    </row>
    <row r="23" spans="1:7" x14ac:dyDescent="0.15">
      <c r="A23" s="55" t="s">
        <v>63</v>
      </c>
      <c r="B23" s="56">
        <v>90</v>
      </c>
      <c r="C23" t="s">
        <v>64</v>
      </c>
    </row>
    <row r="24" spans="1:7" x14ac:dyDescent="0.15">
      <c r="A24" s="55" t="s">
        <v>65</v>
      </c>
      <c r="B24" s="56">
        <v>50</v>
      </c>
      <c r="C24" t="s">
        <v>64</v>
      </c>
      <c r="D24">
        <f>B24*PI()/180</f>
        <v>0.87266462599716477</v>
      </c>
    </row>
    <row r="26" spans="1:7" x14ac:dyDescent="0.15">
      <c r="A26" s="55" t="s">
        <v>31</v>
      </c>
      <c r="B26">
        <f>B23*PI()/180</f>
        <v>1.5707963267948966</v>
      </c>
      <c r="D26" s="57" t="s">
        <v>66</v>
      </c>
      <c r="E26" s="58">
        <f>Ellip_F(B26,B27)</f>
        <v>1.9355810960047202</v>
      </c>
    </row>
    <row r="27" spans="1:7" x14ac:dyDescent="0.15">
      <c r="A27" s="59" t="s">
        <v>42</v>
      </c>
      <c r="B27">
        <f>SIN(B24*PI()/180)</f>
        <v>0.76604444311897801</v>
      </c>
      <c r="D27" s="57" t="s">
        <v>67</v>
      </c>
      <c r="E27" s="58">
        <f>Ellip_E(B26,B27)</f>
        <v>1.3055390942977927</v>
      </c>
    </row>
    <row r="30" spans="1:7" x14ac:dyDescent="0.15">
      <c r="A30" s="54" t="s">
        <v>68</v>
      </c>
    </row>
    <row r="31" spans="1:7" x14ac:dyDescent="0.15">
      <c r="A31" s="54" t="s">
        <v>80</v>
      </c>
    </row>
    <row r="32" spans="1:7" x14ac:dyDescent="0.15">
      <c r="A32" t="s">
        <v>81</v>
      </c>
    </row>
    <row r="34" spans="9:13" x14ac:dyDescent="0.15">
      <c r="I34" s="60" t="s">
        <v>69</v>
      </c>
      <c r="J34" s="61"/>
      <c r="K34" s="61"/>
      <c r="L34" s="61"/>
      <c r="M34" s="61"/>
    </row>
    <row r="35" spans="9:13" ht="13.5" x14ac:dyDescent="0.15">
      <c r="I35" s="62"/>
    </row>
  </sheetData>
  <phoneticPr fontId="0" type="noConversion"/>
  <hyperlinks>
    <hyperlink ref="I2" r:id="rId1" xr:uid="{00000000-0004-0000-0100-000000000000}"/>
  </hyperlinks>
  <pageMargins left="0.75" right="0.75" top="1" bottom="1" header="0.5" footer="0.5"/>
  <pageSetup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9" r:id="rId5" name="Button 1">
              <controlPr defaultSize="0" print="0" autoFill="0" autoPict="0" macro="[1]!EllipticIntegrals">
                <anchor moveWithCells="1" sizeWithCells="1">
                  <from>
                    <xdr:col>5</xdr:col>
                    <xdr:colOff>0</xdr:colOff>
                    <xdr:row>0</xdr:row>
                    <xdr:rowOff>0</xdr:rowOff>
                  </from>
                  <to>
                    <xdr:col>7</xdr:col>
                    <xdr:colOff>0</xdr:colOff>
                    <xdr:row>0</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Excel iOS</Application>
  <DocSecurity>0</DocSecurity>
  <ScaleCrop>false</ScaleCrop>
  <HeadingPairs>
    <vt:vector size="4" baseType="variant">
      <vt:variant>
        <vt:lpstr>Folhas de Cálculo</vt:lpstr>
      </vt:variant>
      <vt:variant>
        <vt:i4>2</vt:i4>
      </vt:variant>
      <vt:variant>
        <vt:lpstr>Intervalos com Nome</vt:lpstr>
      </vt:variant>
      <vt:variant>
        <vt:i4>15</vt:i4>
      </vt:variant>
    </vt:vector>
  </HeadingPairs>
  <TitlesOfParts>
    <vt:vector size="17" baseType="lpstr">
      <vt:lpstr>Relatório</vt:lpstr>
      <vt:lpstr>EllipticAddIn</vt:lpstr>
      <vt:lpstr>__ri1</vt:lpstr>
      <vt:lpstr>__ri2</vt:lpstr>
      <vt:lpstr>_R1_</vt:lpstr>
      <vt:lpstr>_re1</vt:lpstr>
      <vt:lpstr>_re2</vt:lpstr>
      <vt:lpstr>a_1</vt:lpstr>
      <vt:lpstr>a_2</vt:lpstr>
      <vt:lpstr>Relatório!Área_de_Impressão</vt:lpstr>
      <vt:lpstr>c_1</vt:lpstr>
      <vt:lpstr>c_2</vt:lpstr>
      <vt:lpstr>meioPi</vt:lpstr>
      <vt:lpstr>mu0</vt:lpstr>
      <vt:lpstr>N_1</vt:lpstr>
      <vt:lpstr>N_2</vt:lpstr>
      <vt:lpstr>p</vt:lpstr>
    </vt:vector>
  </TitlesOfParts>
  <Company>Casa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Paulo Fonte</dc:creator>
  <cp:lastModifiedBy>Rafael</cp:lastModifiedBy>
  <cp:lastPrinted>2005-10-17T23:49:44Z</cp:lastPrinted>
  <dcterms:created xsi:type="dcterms:W3CDTF">2005-10-16T21:48:12Z</dcterms:created>
  <dcterms:modified xsi:type="dcterms:W3CDTF">2022-10-17T15:26:03Z</dcterms:modified>
</cp:coreProperties>
</file>