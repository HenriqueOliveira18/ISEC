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ls" ContentType="application/vnd.ms-exce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9" codeName="{A63ED3A1-9429-3D75-F2AA-CA7E51A8F3A1}"/>
  <workbookPr codeName="EsteLivro" defaultThemeVersion="166925"/>
  <mc:AlternateContent xmlns:mc="http://schemas.openxmlformats.org/markup-compatibility/2006">
    <mc:Choice Requires="x15">
      <x15ac:absPath xmlns:x15ac="http://schemas.microsoft.com/office/spreadsheetml/2010/11/ac" url="/Users/henriqueoliveira18/Library/CloudStorage/OneDrive-ISEC/ISEC/ISE/2Inducao/"/>
    </mc:Choice>
  </mc:AlternateContent>
  <xr:revisionPtr revIDLastSave="0" documentId="13_ncr:1_{6A03396B-A876-314D-80F5-419F085FD74D}" xr6:coauthVersionLast="47" xr6:coauthVersionMax="47" xr10:uidLastSave="{00000000-0000-0000-0000-000000000000}"/>
  <bookViews>
    <workbookView xWindow="0" yWindow="0" windowWidth="35840" windowHeight="22400" xr2:uid="{00000000-000D-0000-FFFF-FFFF00000000}"/>
  </bookViews>
  <sheets>
    <sheet name="Pré-relatório" sheetId="1" r:id="rId1"/>
    <sheet name="EllipticAddIn" sheetId="4" r:id="rId2"/>
  </sheets>
  <functionGroups builtInGroupCount="19"/>
  <externalReferences>
    <externalReference r:id="rId3"/>
  </externalReferences>
  <definedNames>
    <definedName name="__re1">'Pré-relatório'!$B$5</definedName>
    <definedName name="__ri1">'Pré-relatório'!$B$6</definedName>
    <definedName name="_R1_">'Pré-relatório'!$B$16</definedName>
    <definedName name="_re1">'Pré-relatório'!$B$5</definedName>
    <definedName name="_re2">'Pré-relatório'!$B$10</definedName>
    <definedName name="_ri1">'Pré-relatório'!$B$6</definedName>
    <definedName name="_ri2">'Pré-relatório'!$B$11</definedName>
    <definedName name="a_1">'Pré-relatório'!$E$5</definedName>
    <definedName name="a_2">'Pré-relatório'!$E$10</definedName>
    <definedName name="_xlnm.Print_Area" localSheetId="0">'Pré-relatório'!$A$1:$J$147</definedName>
    <definedName name="c_1">'Pré-relatório'!$E$6</definedName>
    <definedName name="c_2">'Pré-relatório'!$E$11</definedName>
    <definedName name="meioPi">'Pré-relatório'!$M$49</definedName>
    <definedName name="mu0">'Pré-relatório'!$N$17</definedName>
    <definedName name="N_1">'Pré-relatório'!$B$4</definedName>
    <definedName name="N_2">'Pré-relatório'!$B$9</definedName>
    <definedName name="p">'Pré-relatório'!$N$19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9" i="1" l="1"/>
  <c r="E50" i="1"/>
  <c r="F49" i="1"/>
  <c r="E51" i="1"/>
  <c r="E52" i="1"/>
  <c r="E49" i="1"/>
  <c r="D50" i="1"/>
  <c r="D51" i="1"/>
  <c r="D52" i="1"/>
  <c r="D49" i="1"/>
  <c r="E20" i="1"/>
  <c r="E21" i="1"/>
  <c r="E22" i="1"/>
  <c r="E19" i="1"/>
  <c r="D20" i="1"/>
  <c r="D21" i="1"/>
  <c r="D22" i="1"/>
  <c r="D19" i="1"/>
  <c r="E10" i="1"/>
  <c r="D24" i="4"/>
  <c r="B26" i="4"/>
  <c r="B27" i="4"/>
  <c r="N17" i="1"/>
  <c r="M49" i="1"/>
  <c r="B5" i="1"/>
  <c r="E5" i="1" s="1"/>
  <c r="B80" i="1" s="1"/>
  <c r="F19" i="1"/>
  <c r="H19" i="1" s="1"/>
  <c r="D113" i="1"/>
  <c r="D112" i="1"/>
  <c r="D111" i="1"/>
  <c r="D110" i="1"/>
  <c r="D109" i="1"/>
  <c r="D108" i="1"/>
  <c r="D107" i="1"/>
  <c r="D106" i="1"/>
  <c r="D105" i="1"/>
  <c r="D104" i="1"/>
  <c r="E27" i="4"/>
  <c r="E26" i="4"/>
  <c r="I8" i="1"/>
  <c r="G19" i="1" l="1"/>
  <c r="I19" i="1" s="1"/>
  <c r="J19" i="1" s="1"/>
  <c r="M131" i="1"/>
  <c r="R121" i="1"/>
  <c r="R113" i="1"/>
  <c r="R105" i="1"/>
  <c r="R116" i="1"/>
  <c r="R118" i="1"/>
  <c r="R122" i="1"/>
  <c r="R123" i="1"/>
  <c r="R110" i="1"/>
  <c r="R117" i="1"/>
  <c r="R124" i="1"/>
  <c r="R109" i="1"/>
  <c r="R114" i="1"/>
  <c r="R119" i="1"/>
  <c r="R106" i="1"/>
  <c r="M130" i="1"/>
  <c r="M118" i="1"/>
  <c r="M110" i="1"/>
  <c r="M126" i="1"/>
  <c r="R115" i="1"/>
  <c r="M111" i="1"/>
  <c r="M125" i="1"/>
  <c r="M115" i="1"/>
  <c r="M107" i="1"/>
  <c r="M114" i="1"/>
  <c r="M122" i="1"/>
  <c r="M134" i="1"/>
  <c r="M108" i="1"/>
  <c r="M129" i="1"/>
  <c r="M119" i="1"/>
  <c r="R104" i="1"/>
  <c r="M105" i="1"/>
  <c r="M109" i="1"/>
  <c r="M112" i="1"/>
  <c r="M128" i="1"/>
  <c r="M124" i="1"/>
  <c r="M121" i="1"/>
  <c r="M117" i="1"/>
  <c r="M133" i="1"/>
  <c r="N19" i="1"/>
  <c r="R107" i="1"/>
  <c r="R111" i="1"/>
  <c r="R120" i="1"/>
  <c r="L49" i="1"/>
  <c r="G49" i="1"/>
  <c r="M106" i="1"/>
  <c r="M113" i="1"/>
  <c r="M127" i="1"/>
  <c r="M123" i="1"/>
  <c r="M120" i="1"/>
  <c r="M116" i="1"/>
  <c r="L116" i="1" s="1"/>
  <c r="M132" i="1"/>
  <c r="M104" i="1"/>
  <c r="R108" i="1"/>
  <c r="R112" i="1"/>
  <c r="Q106" i="1"/>
  <c r="Q116" i="1"/>
  <c r="Q118" i="1"/>
  <c r="Q113" i="1"/>
  <c r="Q122" i="1"/>
  <c r="Q119" i="1"/>
  <c r="I49" i="1"/>
  <c r="Q110" i="1"/>
  <c r="Q108" i="1"/>
  <c r="Q123" i="1"/>
  <c r="Q117" i="1"/>
  <c r="Q111" i="1"/>
  <c r="Q115" i="1"/>
  <c r="Q112" i="1"/>
  <c r="Q105" i="1"/>
  <c r="Q124" i="1"/>
  <c r="Q107" i="1"/>
  <c r="Q104" i="1"/>
  <c r="Q120" i="1"/>
  <c r="Q114" i="1"/>
  <c r="Q109" i="1"/>
  <c r="Q121" i="1"/>
  <c r="L110" i="1" l="1"/>
  <c r="A80" i="1"/>
  <c r="C80" i="1" s="1"/>
  <c r="L114" i="1"/>
  <c r="L130" i="1"/>
  <c r="P120" i="1"/>
  <c r="J49" i="1"/>
  <c r="P121" i="1"/>
  <c r="P111" i="1"/>
  <c r="P107" i="1"/>
  <c r="P124" i="1"/>
  <c r="P108" i="1"/>
  <c r="P119" i="1"/>
  <c r="P105" i="1"/>
  <c r="L120" i="1"/>
  <c r="L106" i="1"/>
  <c r="L133" i="1"/>
  <c r="L128" i="1"/>
  <c r="P122" i="1"/>
  <c r="P113" i="1"/>
  <c r="L131" i="1"/>
  <c r="P109" i="1"/>
  <c r="L123" i="1"/>
  <c r="L117" i="1"/>
  <c r="L112" i="1"/>
  <c r="L107" i="1"/>
  <c r="L104" i="1"/>
  <c r="L108" i="1"/>
  <c r="L129" i="1"/>
  <c r="L125" i="1"/>
  <c r="L118" i="1"/>
  <c r="L122" i="1"/>
  <c r="L132" i="1"/>
  <c r="L127" i="1"/>
  <c r="L121" i="1"/>
  <c r="L109" i="1"/>
  <c r="P106" i="1"/>
  <c r="P104" i="1"/>
  <c r="P115" i="1"/>
  <c r="P114" i="1"/>
  <c r="P123" i="1"/>
  <c r="P116" i="1"/>
  <c r="P112" i="1"/>
  <c r="P118" i="1"/>
  <c r="P110" i="1"/>
  <c r="L115" i="1"/>
  <c r="L119" i="1"/>
  <c r="L113" i="1"/>
  <c r="L124" i="1"/>
  <c r="L105" i="1"/>
  <c r="L134" i="1"/>
  <c r="L126" i="1"/>
  <c r="L111" i="1"/>
  <c r="P11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Paulo Fonte</author>
  </authors>
  <commentList>
    <comment ref="I49" authorId="0" shapeId="0" xr:uid="{00000000-0006-0000-0000-000001000000}">
      <text>
        <r>
          <rPr>
            <b/>
            <sz val="8"/>
            <color indexed="8"/>
            <rFont val="Tahoma"/>
            <family val="2"/>
          </rPr>
          <t>Paulo Fonte:</t>
        </r>
        <r>
          <rPr>
            <sz val="8"/>
            <color indexed="8"/>
            <rFont val="Tahoma"/>
            <family val="2"/>
          </rPr>
          <t xml:space="preserve">
</t>
        </r>
        <r>
          <rPr>
            <sz val="8"/>
            <color indexed="8"/>
            <rFont val="Tahoma"/>
            <family val="2"/>
          </rPr>
          <t>Se não der aqui nenhum resultado provavelmente esquceu-se de instalar o pacote EllipticAddIn.xls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 Wittwer</author>
  </authors>
  <commentList>
    <comment ref="I2" authorId="0" shapeId="0" xr:uid="{00000000-0006-0000-0100-000001000000}">
      <text>
        <r>
          <rPr>
            <b/>
            <sz val="8"/>
            <color indexed="8"/>
            <rFont val="Tahoma"/>
            <family val="2"/>
          </rPr>
          <t>Disclaimer</t>
        </r>
        <r>
          <rPr>
            <sz val="8"/>
            <color indexed="8"/>
            <rFont val="Tahoma"/>
            <family val="2"/>
          </rPr>
          <t xml:space="preserve">
</t>
        </r>
        <r>
          <rPr>
            <sz val="8"/>
            <color indexed="8"/>
            <rFont val="Tahoma"/>
            <family val="2"/>
          </rPr>
          <t>No Liability is accepted by Jon Wittwer for any direct, indirect, consequential or incidental loss or damage arising out of the software use or any mistakes and negligence in developing this software.  The organization or person using the software bears all risks and responsibility for the quality and performance of the software.</t>
        </r>
      </text>
    </comment>
  </commentList>
</comments>
</file>

<file path=xl/sharedStrings.xml><?xml version="1.0" encoding="utf-8"?>
<sst xmlns="http://schemas.openxmlformats.org/spreadsheetml/2006/main" count="116" uniqueCount="86">
  <si>
    <t>Medida 3.1</t>
  </si>
  <si>
    <t>N1</t>
  </si>
  <si>
    <t>re1</t>
  </si>
  <si>
    <t>m</t>
  </si>
  <si>
    <t>a1</t>
  </si>
  <si>
    <t>ri1</t>
  </si>
  <si>
    <t>c1</t>
  </si>
  <si>
    <t>b1</t>
  </si>
  <si>
    <t>Se vir 1.0 está OK -&gt;</t>
  </si>
  <si>
    <t>N2</t>
  </si>
  <si>
    <t>re2</t>
  </si>
  <si>
    <t>a2</t>
  </si>
  <si>
    <t>ri2</t>
  </si>
  <si>
    <t>c2</t>
  </si>
  <si>
    <t>b2</t>
  </si>
  <si>
    <t>Medida 3.2.1</t>
  </si>
  <si>
    <t>R1</t>
  </si>
  <si>
    <t>Ohm</t>
  </si>
  <si>
    <t>f (Hz)</t>
  </si>
  <si>
    <t>&lt;i1&gt; (A)</t>
  </si>
  <si>
    <t>&lt;v1&gt; (V)</t>
  </si>
  <si>
    <t>w (rad/s)</t>
  </si>
  <si>
    <t>wL (ohm)</t>
  </si>
  <si>
    <t>pendente</t>
  </si>
  <si>
    <t>L</t>
  </si>
  <si>
    <t>L calculado</t>
  </si>
  <si>
    <t>erro relativo</t>
  </si>
  <si>
    <t>H</t>
  </si>
  <si>
    <t>Comentário</t>
  </si>
  <si>
    <t>Medida 3.3</t>
  </si>
  <si>
    <t>&lt;v2&gt; (V)</t>
  </si>
  <si>
    <t>Z12=
&lt;v2&gt;/
&lt;i1&gt;</t>
  </si>
  <si>
    <t>k</t>
  </si>
  <si>
    <t>M</t>
  </si>
  <si>
    <t>M
calculado</t>
  </si>
  <si>
    <t>Medida 3.4</t>
  </si>
  <si>
    <t>B(0,0)</t>
  </si>
  <si>
    <t>T</t>
  </si>
  <si>
    <t>Medida 3.5</t>
  </si>
  <si>
    <t>Medida 3.6</t>
  </si>
  <si>
    <t>f</t>
  </si>
  <si>
    <t>Hz</t>
  </si>
  <si>
    <t>i1</t>
  </si>
  <si>
    <t>A</t>
  </si>
  <si>
    <t>z(m)</t>
  </si>
  <si>
    <t>rho (m)</t>
  </si>
  <si>
    <t>&lt;v2&gt;/
&lt;v2(0,0)&gt; (V)</t>
  </si>
  <si>
    <t>z</t>
  </si>
  <si>
    <t>Brel</t>
  </si>
  <si>
    <t>Beixo</t>
  </si>
  <si>
    <t>rho</t>
  </si>
  <si>
    <t>Bplano</t>
  </si>
  <si>
    <r>
      <t>T</t>
    </r>
    <r>
      <rPr>
        <b/>
        <sz val="8"/>
        <color indexed="9"/>
        <rFont val="Arial"/>
        <family val="2"/>
      </rPr>
      <t>ITLE</t>
    </r>
    <r>
      <rPr>
        <b/>
        <sz val="10"/>
        <color indexed="9"/>
        <rFont val="Arial"/>
        <family val="2"/>
      </rPr>
      <t>:</t>
    </r>
  </si>
  <si>
    <t>VB Functions for Elliptic Integrals</t>
  </si>
  <si>
    <r>
      <t>R</t>
    </r>
    <r>
      <rPr>
        <b/>
        <sz val="8"/>
        <color indexed="9"/>
        <rFont val="Arial"/>
        <family val="2"/>
      </rPr>
      <t>EVISED</t>
    </r>
    <r>
      <rPr>
        <b/>
        <sz val="10"/>
        <color indexed="9"/>
        <rFont val="Arial"/>
        <family val="2"/>
      </rPr>
      <t>:</t>
    </r>
  </si>
  <si>
    <t>© 2002</t>
  </si>
  <si>
    <r>
      <t>S</t>
    </r>
    <r>
      <rPr>
        <b/>
        <sz val="8"/>
        <color indexed="9"/>
        <rFont val="Arial"/>
        <family val="2"/>
      </rPr>
      <t>UBJECT</t>
    </r>
    <r>
      <rPr>
        <b/>
        <sz val="10"/>
        <color indexed="9"/>
        <rFont val="Arial"/>
        <family val="2"/>
      </rPr>
      <t>:</t>
    </r>
  </si>
  <si>
    <t>Mathematics, Compliance, Bending Beams, Elliptic Integrals</t>
  </si>
  <si>
    <r>
      <t>R</t>
    </r>
    <r>
      <rPr>
        <b/>
        <sz val="8"/>
        <color indexed="9"/>
        <rFont val="Arial"/>
        <family val="2"/>
      </rPr>
      <t>EVISION</t>
    </r>
    <r>
      <rPr>
        <b/>
        <sz val="10"/>
        <color indexed="9"/>
        <rFont val="Arial"/>
        <family val="2"/>
      </rPr>
      <t>:</t>
    </r>
  </si>
  <si>
    <t>1.0</t>
  </si>
  <si>
    <t>Jon Wittwer</t>
  </si>
  <si>
    <r>
      <t xml:space="preserve">TO Create an ADD-IN, just save this file as a </t>
    </r>
    <r>
      <rPr>
        <b/>
        <sz val="14"/>
        <rFont val="Arial"/>
        <family val="2"/>
      </rPr>
      <t xml:space="preserve">".xla" </t>
    </r>
    <r>
      <rPr>
        <sz val="14"/>
        <rFont val="Arial"/>
        <family val="2"/>
      </rPr>
      <t>type, and place it in your "Addins" directory</t>
    </r>
  </si>
  <si>
    <t>REFERENCES</t>
  </si>
  <si>
    <r>
      <t xml:space="preserve">1) Howell, Larry L., 2001, </t>
    </r>
    <r>
      <rPr>
        <b/>
        <i/>
        <sz val="10"/>
        <rFont val="Arial"/>
        <family val="2"/>
      </rPr>
      <t>Compliant Mechanisms</t>
    </r>
    <r>
      <rPr>
        <b/>
        <sz val="10"/>
        <rFont val="Arial"/>
        <family val="2"/>
      </rPr>
      <t xml:space="preserve">, John Wiley &amp; Sons, New York. </t>
    </r>
    <r>
      <rPr>
        <sz val="10"/>
        <rFont val="Arial"/>
        <family val="2"/>
      </rPr>
      <t>(see pg. 46)</t>
    </r>
  </si>
  <si>
    <r>
      <t xml:space="preserve">2) </t>
    </r>
    <r>
      <rPr>
        <i/>
        <sz val="10"/>
        <rFont val="Arial"/>
        <family val="2"/>
      </rPr>
      <t>Handbook of Mathematical Function with Formulas, Graphs, and Mathematical Tables</t>
    </r>
  </si>
  <si>
    <t>Edited by M. Abramowitz and I.A. Stegun</t>
  </si>
  <si>
    <t>AMS 55</t>
  </si>
  <si>
    <t>U.S. Department of Commerce</t>
  </si>
  <si>
    <t>National Bureau of Standards, Applied Mathematics Series - 55</t>
  </si>
  <si>
    <r>
      <t xml:space="preserve">3) </t>
    </r>
    <r>
      <rPr>
        <i/>
        <sz val="10"/>
        <rFont val="Arial"/>
        <family val="2"/>
      </rPr>
      <t>Handbook of Elliptic Integrals for Engineers and Physicists, by P.F. Byrd and M.D.Friedman</t>
    </r>
  </si>
  <si>
    <r>
      <t>4)</t>
    </r>
    <r>
      <rPr>
        <sz val="10"/>
        <rFont val="Arial"/>
        <family val="2"/>
      </rPr>
      <t xml:space="preserve"> L.V. King, "On the Direct Numerical Calculations of Elliptic Functions and Integrals"</t>
    </r>
  </si>
  <si>
    <t>HELP and an EXAMPLE</t>
  </si>
  <si>
    <r>
      <t xml:space="preserve">COMPARISON to the tables in </t>
    </r>
    <r>
      <rPr>
        <i/>
        <sz val="10"/>
        <rFont val="Arial"/>
        <family val="2"/>
      </rPr>
      <t>Handbook of ...</t>
    </r>
  </si>
  <si>
    <t>j</t>
  </si>
  <si>
    <t>deg</t>
  </si>
  <si>
    <t>a</t>
  </si>
  <si>
    <t>Ellip_F():</t>
  </si>
  <si>
    <t>Ellip_E():</t>
  </si>
  <si>
    <r>
      <t>"k"</t>
    </r>
    <r>
      <rPr>
        <sz val="10"/>
        <rFont val="Arial"/>
        <family val="2"/>
      </rPr>
      <t xml:space="preserve"> is called the modulus and is always between 0 and 1  (0 &lt; k &lt; 1)</t>
    </r>
  </si>
  <si>
    <r>
      <t>"</t>
    </r>
    <r>
      <rPr>
        <sz val="10"/>
        <rFont val="Symbol"/>
        <family val="1"/>
        <charset val="2"/>
      </rPr>
      <t>f</t>
    </r>
    <r>
      <rPr>
        <sz val="10"/>
        <rFont val="Arial"/>
        <family val="2"/>
      </rPr>
      <t>"</t>
    </r>
    <r>
      <rPr>
        <sz val="10"/>
        <rFont val="Arial"/>
        <family val="2"/>
      </rPr>
      <t xml:space="preserve"> is called the amplitude, and must be in </t>
    </r>
    <r>
      <rPr>
        <i/>
        <sz val="10"/>
        <rFont val="Arial"/>
        <family val="2"/>
      </rPr>
      <t xml:space="preserve">radians  </t>
    </r>
    <r>
      <rPr>
        <sz val="10"/>
        <rFont val="Arial"/>
        <family val="2"/>
      </rPr>
      <t xml:space="preserve">(0 &lt; </t>
    </r>
    <r>
      <rPr>
        <sz val="10"/>
        <rFont val="Symbol"/>
        <family val="1"/>
        <charset val="2"/>
      </rPr>
      <t xml:space="preserve">f </t>
    </r>
    <r>
      <rPr>
        <sz val="10"/>
        <rFont val="Arial"/>
        <family val="2"/>
      </rPr>
      <t xml:space="preserve">&lt;= </t>
    </r>
    <r>
      <rPr>
        <sz val="10"/>
        <rFont val="Symbol"/>
        <family val="1"/>
        <charset val="2"/>
      </rPr>
      <t>p</t>
    </r>
    <r>
      <rPr>
        <sz val="10"/>
        <rFont val="Arial"/>
        <family val="2"/>
      </rPr>
      <t>/2)</t>
    </r>
  </si>
  <si>
    <r>
      <t xml:space="preserve">When </t>
    </r>
    <r>
      <rPr>
        <sz val="10"/>
        <rFont val="Symbol"/>
        <family val="1"/>
        <charset val="2"/>
      </rPr>
      <t>f</t>
    </r>
    <r>
      <rPr>
        <sz val="10"/>
        <rFont val="Arial"/>
        <family val="2"/>
      </rPr>
      <t xml:space="preserve"> is </t>
    </r>
    <r>
      <rPr>
        <sz val="10"/>
        <rFont val="Symbol"/>
        <family val="1"/>
        <charset val="2"/>
      </rPr>
      <t>p</t>
    </r>
    <r>
      <rPr>
        <sz val="10"/>
        <rFont val="Arial"/>
        <family val="2"/>
      </rPr>
      <t>/2, Ellip_E() and Ellip_F() give the 'complete' elliptic integrals</t>
    </r>
  </si>
  <si>
    <t>Revision History</t>
  </si>
  <si>
    <t>p</t>
  </si>
  <si>
    <r>
      <rPr>
        <sz val="11"/>
        <rFont val="Arial"/>
        <family val="2"/>
      </rPr>
      <t>Para calcular a frequência angular foi usada a expressão</t>
    </r>
    <r>
      <rPr>
        <sz val="10"/>
        <rFont val="Arial"/>
        <family val="2"/>
      </rPr>
      <t xml:space="preserve">  </t>
    </r>
    <r>
      <rPr>
        <sz val="14"/>
        <rFont val="Calibri"/>
        <family val="2"/>
      </rPr>
      <t>ω=2π*f.</t>
    </r>
  </si>
  <si>
    <t>A intensidade do fluxo magnético que interseta a bobine 2 é diretamente proporcional ao ângulo formado entre ambas as bobines. Através da formula que nos dá a conhecer o fluxo magnético,  Φ = B*A*cos(𝜃), podemos retirar a conclusão de que quando as bobines são coaxiais e complanares (𝜃=0°), a intensidade do fluxo magnético é máxima logo a força eletromotriz (que é a tensão induzida) é máxima. A diminuição da intensidade (que por consequência, a força induzida) vai diminuindo com o aproximamento do ângulo a 90°. Quando este aqui chega, o fluxo magnético na bobine 2 tem um sentido perpedicular, logo, o seu valor é teoricamente nulo, não produzindo assim nenhuma força eletromotriz na bobine 2.</t>
  </si>
  <si>
    <t>Com estas medidas e a sua representação no gráfico acima, podemos retirar duas conclusões importantes para a melhor percepção do funcionamento do fluxo magnético criado pela bobine 1 e gerando uma força eletromotriz na bobine 2. A primeira conclusão dá-se em relação ao afastamento no eixo dos x's (eixo horizontal) neste caso denominado de "rho"; Com este afastamento, o fluxo magnético é aumenta de forma exponencial até atingir o valor de 0,1m (raio da bobine 1); Para valores superiores, este diminui rapidamente com o afastamento. Já a segunda conclusão é em relação ao afastamento no eixo dos z's (eixo vertical); com este os valores vão diminuindo até o fluxo ser quase nulo para valores a cima de 0,4m. Através da fórmula (1.4), pode-se comprovar que o afastamento em (z) leva a uma diminuição do campo magnético (B) de cada espira.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</si>
</sst>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
  </numFmts>
  <fonts count="23" x14ac:knownFonts="1">
    <font>
      <sz val="10"/>
      <name val="Arial"/>
    </font>
    <font>
      <sz val="10"/>
      <name val="Arial"/>
      <family val="2"/>
    </font>
    <font>
      <b/>
      <sz val="10"/>
      <name val="Arial"/>
      <family val="2"/>
    </font>
    <font>
      <u/>
      <sz val="10"/>
      <color indexed="12"/>
      <name val="Arial"/>
      <family val="2"/>
    </font>
    <font>
      <sz val="10"/>
      <color indexed="9"/>
      <name val="Arial"/>
      <family val="2"/>
    </font>
    <font>
      <b/>
      <sz val="12"/>
      <name val="Arial"/>
      <family val="2"/>
    </font>
    <font>
      <b/>
      <sz val="10"/>
      <color indexed="9"/>
      <name val="Arial"/>
      <family val="2"/>
    </font>
    <font>
      <b/>
      <sz val="8"/>
      <color indexed="9"/>
      <name val="Arial"/>
      <family val="2"/>
    </font>
    <font>
      <b/>
      <sz val="9"/>
      <color indexed="18"/>
      <name val="Arial"/>
      <family val="2"/>
    </font>
    <font>
      <sz val="8"/>
      <name val="Arial"/>
      <family val="2"/>
    </font>
    <font>
      <u/>
      <sz val="8"/>
      <color indexed="12"/>
      <name val="Arial"/>
      <family val="2"/>
    </font>
    <font>
      <b/>
      <sz val="14"/>
      <name val="Arial"/>
      <family val="2"/>
    </font>
    <font>
      <sz val="14"/>
      <name val="Arial"/>
      <family val="2"/>
    </font>
    <font>
      <b/>
      <i/>
      <sz val="10"/>
      <name val="Arial"/>
      <family val="2"/>
    </font>
    <font>
      <sz val="10"/>
      <name val="Arial"/>
      <family val="2"/>
    </font>
    <font>
      <i/>
      <sz val="10"/>
      <name val="Arial"/>
      <family val="2"/>
    </font>
    <font>
      <sz val="10"/>
      <name val="Symbol"/>
      <family val="1"/>
      <charset val="2"/>
    </font>
    <font>
      <b/>
      <i/>
      <sz val="10"/>
      <name val="Times New Roman"/>
      <family val="1"/>
    </font>
    <font>
      <b/>
      <sz val="8"/>
      <color indexed="8"/>
      <name val="Tahoma"/>
      <family val="2"/>
    </font>
    <font>
      <sz val="8"/>
      <color indexed="8"/>
      <name val="Tahoma"/>
      <family val="2"/>
    </font>
    <font>
      <sz val="10"/>
      <color rgb="FF000000"/>
      <name val="Arial"/>
      <family val="2"/>
    </font>
    <font>
      <sz val="14"/>
      <name val="Calibri"/>
      <family val="2"/>
    </font>
    <font>
      <sz val="11"/>
      <name val="Arial"/>
      <family val="2"/>
    </font>
  </fonts>
  <fills count="7">
    <fill>
      <patternFill patternType="none"/>
    </fill>
    <fill>
      <patternFill patternType="gray125"/>
    </fill>
    <fill>
      <patternFill patternType="solid">
        <fgColor indexed="41"/>
        <bgColor indexed="64"/>
      </patternFill>
    </fill>
    <fill>
      <patternFill patternType="solid">
        <fgColor indexed="18"/>
        <bgColor indexed="64"/>
      </patternFill>
    </fill>
    <fill>
      <patternFill patternType="solid">
        <fgColor indexed="22"/>
        <bgColor indexed="64"/>
      </patternFill>
    </fill>
    <fill>
      <patternFill patternType="solid">
        <fgColor indexed="23"/>
        <bgColor indexed="64"/>
      </patternFill>
    </fill>
    <fill>
      <patternFill patternType="solid">
        <fgColor rgb="FFCCFFFF"/>
        <bgColor rgb="FF000000"/>
      </patternFill>
    </fill>
  </fills>
  <borders count="19">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18"/>
      </left>
      <right style="thin">
        <color indexed="18"/>
      </right>
      <top style="thin">
        <color indexed="18"/>
      </top>
      <bottom/>
      <diagonal/>
    </border>
    <border>
      <left style="thin">
        <color indexed="64"/>
      </left>
      <right/>
      <top/>
      <bottom style="thin">
        <color indexed="64"/>
      </bottom>
      <diagonal/>
    </border>
    <border>
      <left style="thin">
        <color indexed="18"/>
      </left>
      <right style="thin">
        <color indexed="18"/>
      </right>
      <top/>
      <bottom style="thin">
        <color indexed="18"/>
      </bottom>
      <diagonal/>
    </border>
    <border>
      <left style="thin">
        <color indexed="55"/>
      </left>
      <right style="thin">
        <color indexed="55"/>
      </right>
      <top style="thin">
        <color indexed="55"/>
      </top>
      <bottom style="thin">
        <color indexed="55"/>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s>
  <cellStyleXfs count="3">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cellStyleXfs>
  <cellXfs count="71">
    <xf numFmtId="0" fontId="0" fillId="0" borderId="0" xfId="0"/>
    <xf numFmtId="0" fontId="4" fillId="0" borderId="0" xfId="0" applyFont="1"/>
    <xf numFmtId="0" fontId="2" fillId="0" borderId="0" xfId="0" applyFont="1"/>
    <xf numFmtId="0" fontId="0" fillId="0" borderId="0" xfId="0" applyAlignment="1">
      <alignment horizontal="center"/>
    </xf>
    <xf numFmtId="165" fontId="0" fillId="0" borderId="0" xfId="0" applyNumberFormat="1"/>
    <xf numFmtId="2" fontId="0" fillId="0" borderId="0" xfId="0" applyNumberFormat="1"/>
    <xf numFmtId="11" fontId="0" fillId="0" borderId="0" xfId="0" applyNumberFormat="1"/>
    <xf numFmtId="164" fontId="0" fillId="0" borderId="0" xfId="2" applyNumberFormat="1" applyFont="1" applyProtection="1"/>
    <xf numFmtId="0" fontId="0" fillId="0" borderId="0" xfId="0" applyAlignment="1">
      <alignment horizontal="right"/>
    </xf>
    <xf numFmtId="11" fontId="4" fillId="0" borderId="0" xfId="0" applyNumberFormat="1" applyFont="1"/>
    <xf numFmtId="2" fontId="4" fillId="0" borderId="0" xfId="0" applyNumberFormat="1" applyFont="1"/>
    <xf numFmtId="0" fontId="0" fillId="0" borderId="1" xfId="0" applyBorder="1"/>
    <xf numFmtId="165" fontId="0" fillId="0" borderId="1" xfId="0" applyNumberFormat="1" applyBorder="1"/>
    <xf numFmtId="0" fontId="2" fillId="0" borderId="0" xfId="0" applyFont="1" applyAlignment="1">
      <alignment horizontal="center"/>
    </xf>
    <xf numFmtId="0" fontId="2" fillId="0" borderId="0" xfId="0" applyFont="1" applyAlignment="1">
      <alignment horizontal="center" wrapText="1"/>
    </xf>
    <xf numFmtId="0" fontId="2" fillId="0" borderId="0" xfId="0" applyFont="1" applyAlignment="1">
      <alignment horizontal="right"/>
    </xf>
    <xf numFmtId="0" fontId="5" fillId="0" borderId="0" xfId="0" applyFont="1"/>
    <xf numFmtId="0" fontId="6" fillId="0" borderId="0" xfId="0" applyFont="1"/>
    <xf numFmtId="0" fontId="0" fillId="0" borderId="2" xfId="0" applyBorder="1"/>
    <xf numFmtId="0" fontId="0" fillId="0" borderId="3" xfId="0" applyBorder="1" applyAlignment="1">
      <alignment horizontal="right"/>
    </xf>
    <xf numFmtId="11" fontId="0" fillId="2" borderId="4" xfId="0" applyNumberFormat="1" applyFill="1" applyBorder="1" applyProtection="1">
      <protection locked="0"/>
    </xf>
    <xf numFmtId="1" fontId="1" fillId="2" borderId="5" xfId="0" applyNumberFormat="1" applyFont="1" applyFill="1" applyBorder="1" applyProtection="1">
      <protection locked="0"/>
    </xf>
    <xf numFmtId="2" fontId="1" fillId="2" borderId="6" xfId="0" applyNumberFormat="1" applyFont="1" applyFill="1" applyBorder="1" applyProtection="1">
      <protection locked="0"/>
    </xf>
    <xf numFmtId="2" fontId="1" fillId="2" borderId="5" xfId="0" applyNumberFormat="1" applyFont="1" applyFill="1" applyBorder="1" applyProtection="1">
      <protection locked="0"/>
    </xf>
    <xf numFmtId="0" fontId="1" fillId="0" borderId="5" xfId="0" applyFont="1" applyBorder="1"/>
    <xf numFmtId="0" fontId="1" fillId="0" borderId="7" xfId="0" applyFont="1" applyBorder="1"/>
    <xf numFmtId="0" fontId="1" fillId="0" borderId="8" xfId="0" applyFont="1" applyBorder="1"/>
    <xf numFmtId="0" fontId="6" fillId="3" borderId="5" xfId="0" applyFont="1" applyFill="1" applyBorder="1" applyAlignment="1">
      <alignment horizontal="right"/>
    </xf>
    <xf numFmtId="0" fontId="8" fillId="4" borderId="9" xfId="0" applyFont="1" applyFill="1" applyBorder="1"/>
    <xf numFmtId="0" fontId="0" fillId="4" borderId="10" xfId="0" applyFill="1" applyBorder="1"/>
    <xf numFmtId="0" fontId="6" fillId="3" borderId="4" xfId="0" applyFont="1" applyFill="1" applyBorder="1" applyAlignment="1">
      <alignment horizontal="right"/>
    </xf>
    <xf numFmtId="14" fontId="9" fillId="4" borderId="2" xfId="0" applyNumberFormat="1" applyFont="1" applyFill="1" applyBorder="1" applyAlignment="1">
      <alignment horizontal="center"/>
    </xf>
    <xf numFmtId="0" fontId="9" fillId="4" borderId="11" xfId="0" applyFont="1" applyFill="1" applyBorder="1" applyAlignment="1">
      <alignment horizontal="center"/>
    </xf>
    <xf numFmtId="0" fontId="6" fillId="3" borderId="8" xfId="0" applyFont="1" applyFill="1" applyBorder="1" applyAlignment="1">
      <alignment horizontal="right"/>
    </xf>
    <xf numFmtId="0" fontId="9" fillId="4" borderId="12" xfId="0" applyFont="1" applyFill="1" applyBorder="1"/>
    <xf numFmtId="0" fontId="0" fillId="4" borderId="1" xfId="0" applyFill="1" applyBorder="1"/>
    <xf numFmtId="49" fontId="9" fillId="4" borderId="12" xfId="0" applyNumberFormat="1" applyFont="1" applyFill="1" applyBorder="1" applyAlignment="1">
      <alignment horizontal="center"/>
    </xf>
    <xf numFmtId="0" fontId="10" fillId="4" borderId="13" xfId="1" applyFont="1" applyFill="1" applyBorder="1" applyAlignment="1" applyProtection="1">
      <alignment horizontal="center"/>
    </xf>
    <xf numFmtId="0" fontId="12" fillId="0" borderId="0" xfId="0" applyFont="1"/>
    <xf numFmtId="0" fontId="2" fillId="4" borderId="0" xfId="0" applyFont="1" applyFill="1"/>
    <xf numFmtId="0" fontId="0" fillId="4" borderId="0" xfId="0" applyFill="1"/>
    <xf numFmtId="0" fontId="14" fillId="0" borderId="0" xfId="0" applyFont="1"/>
    <xf numFmtId="0" fontId="16" fillId="0" borderId="0" xfId="0" applyFont="1" applyAlignment="1">
      <alignment horizontal="right"/>
    </xf>
    <xf numFmtId="0" fontId="0" fillId="2" borderId="0" xfId="0" applyFill="1"/>
    <xf numFmtId="0" fontId="2" fillId="0" borderId="14" xfId="0" applyFont="1" applyBorder="1"/>
    <xf numFmtId="0" fontId="6" fillId="5" borderId="0" xfId="0" applyFont="1" applyFill="1"/>
    <xf numFmtId="0" fontId="14" fillId="5" borderId="0" xfId="0" applyFont="1" applyFill="1"/>
    <xf numFmtId="0" fontId="17" fillId="0" borderId="0" xfId="0" applyFont="1" applyAlignment="1">
      <alignment horizontal="right"/>
    </xf>
    <xf numFmtId="166" fontId="0" fillId="0" borderId="15" xfId="0" applyNumberFormat="1" applyBorder="1" applyAlignment="1">
      <alignment horizontal="center"/>
    </xf>
    <xf numFmtId="11" fontId="14" fillId="6" borderId="4" xfId="0" applyNumberFormat="1" applyFont="1" applyFill="1" applyBorder="1" applyProtection="1">
      <protection locked="0"/>
    </xf>
    <xf numFmtId="0" fontId="1" fillId="0" borderId="0" xfId="0" applyFont="1"/>
    <xf numFmtId="0" fontId="1" fillId="0" borderId="0" xfId="0" applyFont="1" applyAlignment="1">
      <alignment horizontal="center"/>
    </xf>
    <xf numFmtId="0" fontId="0" fillId="2" borderId="9" xfId="0" applyFill="1" applyBorder="1" applyAlignment="1" applyProtection="1">
      <alignment horizontal="left"/>
      <protection locked="0"/>
    </xf>
    <xf numFmtId="0" fontId="0" fillId="2" borderId="10" xfId="0" applyFill="1" applyBorder="1" applyAlignment="1" applyProtection="1">
      <alignment horizontal="left"/>
      <protection locked="0"/>
    </xf>
    <xf numFmtId="0" fontId="0" fillId="2" borderId="6" xfId="0" applyFill="1" applyBorder="1" applyAlignment="1" applyProtection="1">
      <alignment horizontal="left"/>
      <protection locked="0"/>
    </xf>
    <xf numFmtId="0" fontId="0" fillId="2" borderId="16" xfId="0" applyFill="1" applyBorder="1" applyAlignment="1" applyProtection="1">
      <alignment horizontal="left"/>
      <protection locked="0"/>
    </xf>
    <xf numFmtId="0" fontId="0" fillId="2" borderId="0" xfId="0" applyFill="1" applyAlignment="1" applyProtection="1">
      <alignment horizontal="left"/>
      <protection locked="0"/>
    </xf>
    <xf numFmtId="0" fontId="0" fillId="2" borderId="17" xfId="0" applyFill="1" applyBorder="1" applyAlignment="1" applyProtection="1">
      <alignment horizontal="left"/>
      <protection locked="0"/>
    </xf>
    <xf numFmtId="0" fontId="0" fillId="2" borderId="12" xfId="0" applyFill="1" applyBorder="1" applyAlignment="1" applyProtection="1">
      <alignment horizontal="left"/>
      <protection locked="0"/>
    </xf>
    <xf numFmtId="0" fontId="0" fillId="2" borderId="1" xfId="0" applyFill="1" applyBorder="1" applyAlignment="1" applyProtection="1">
      <alignment horizontal="left"/>
      <protection locked="0"/>
    </xf>
    <xf numFmtId="0" fontId="0" fillId="2" borderId="18" xfId="0" applyFill="1" applyBorder="1" applyAlignment="1" applyProtection="1">
      <alignment horizontal="left"/>
      <protection locked="0"/>
    </xf>
    <xf numFmtId="0" fontId="1" fillId="2" borderId="9" xfId="0" applyFont="1" applyFill="1" applyBorder="1" applyAlignment="1" applyProtection="1">
      <alignment horizontal="left"/>
      <protection locked="0"/>
    </xf>
    <xf numFmtId="0" fontId="1" fillId="2" borderId="9" xfId="0" applyFont="1" applyFill="1" applyBorder="1" applyAlignment="1" applyProtection="1">
      <alignment horizontal="left" wrapText="1"/>
      <protection locked="0"/>
    </xf>
    <xf numFmtId="0" fontId="0" fillId="2" borderId="10" xfId="0" applyFill="1" applyBorder="1" applyAlignment="1" applyProtection="1">
      <alignment horizontal="left" wrapText="1"/>
      <protection locked="0"/>
    </xf>
    <xf numFmtId="0" fontId="0" fillId="2" borderId="6" xfId="0" applyFill="1" applyBorder="1" applyAlignment="1" applyProtection="1">
      <alignment horizontal="left" wrapText="1"/>
      <protection locked="0"/>
    </xf>
    <xf numFmtId="0" fontId="0" fillId="2" borderId="16" xfId="0" applyFill="1" applyBorder="1" applyAlignment="1" applyProtection="1">
      <alignment horizontal="left" wrapText="1"/>
      <protection locked="0"/>
    </xf>
    <xf numFmtId="0" fontId="0" fillId="2" borderId="0" xfId="0" applyFill="1" applyAlignment="1" applyProtection="1">
      <alignment horizontal="left" wrapText="1"/>
      <protection locked="0"/>
    </xf>
    <xf numFmtId="0" fontId="0" fillId="2" borderId="17" xfId="0" applyFill="1" applyBorder="1" applyAlignment="1" applyProtection="1">
      <alignment horizontal="left" wrapText="1"/>
      <protection locked="0"/>
    </xf>
    <xf numFmtId="0" fontId="0" fillId="2" borderId="12" xfId="0" applyFill="1" applyBorder="1" applyAlignment="1" applyProtection="1">
      <alignment horizontal="left" wrapText="1"/>
      <protection locked="0"/>
    </xf>
    <xf numFmtId="0" fontId="0" fillId="2" borderId="1" xfId="0" applyFill="1" applyBorder="1" applyAlignment="1" applyProtection="1">
      <alignment horizontal="left" wrapText="1"/>
      <protection locked="0"/>
    </xf>
    <xf numFmtId="0" fontId="0" fillId="2" borderId="18" xfId="0" applyFill="1" applyBorder="1" applyAlignment="1" applyProtection="1">
      <alignment horizontal="left" wrapText="1"/>
      <protection locked="0"/>
    </xf>
  </cellXfs>
  <cellStyles count="3">
    <cellStyle name="Hiperligação" xfId="1" builtinId="8"/>
    <cellStyle name="Normal" xfId="0" builtinId="0"/>
    <cellStyle name="Pe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844659479984549"/>
          <c:y val="9.901309465400146E-2"/>
          <c:w val="0.80002542948118704"/>
          <c:h val="0.64358511525100948"/>
        </c:manualLayout>
      </c:layout>
      <c:scatterChart>
        <c:scatterStyle val="lineMarker"/>
        <c:varyColors val="0"/>
        <c:ser>
          <c:idx val="0"/>
          <c:order val="0"/>
          <c:spPr>
            <a:ln w="19050">
              <a:noFill/>
            </a:ln>
          </c:spPr>
          <c:marker>
            <c:symbol val="circle"/>
            <c:size val="7"/>
            <c:spPr>
              <a:noFill/>
              <a:ln>
                <a:solidFill>
                  <a:srgbClr val="FF0000"/>
                </a:solidFill>
                <a:prstDash val="solid"/>
              </a:ln>
            </c:spPr>
          </c:marker>
          <c:trendline>
            <c:spPr>
              <a:ln w="25400">
                <a:solidFill>
                  <a:srgbClr val="000000"/>
                </a:solidFill>
                <a:prstDash val="solid"/>
              </a:ln>
            </c:spPr>
            <c:trendlineType val="linear"/>
            <c:dispRSqr val="0"/>
            <c:dispEq val="1"/>
            <c:trendlineLbl>
              <c:layout>
                <c:manualLayout>
                  <c:x val="-0.83130921059984553"/>
                  <c:y val="-0.10909825476135804"/>
                </c:manualLayout>
              </c:layout>
              <c:numFmt formatCode="0.00E+00" sourceLinked="0"/>
              <c:spPr>
                <a:noFill/>
                <a:ln w="25400">
                  <a:noFill/>
                </a:ln>
              </c:spPr>
              <c:txPr>
                <a:bodyPr/>
                <a:lstStyle/>
                <a:p>
                  <a:pPr>
                    <a:defRPr sz="1025" b="0" i="0" u="none" strike="noStrike" baseline="0">
                      <a:solidFill>
                        <a:srgbClr val="000000"/>
                      </a:solidFill>
                      <a:latin typeface="Arial"/>
                      <a:ea typeface="Arial"/>
                      <a:cs typeface="Arial"/>
                    </a:defRPr>
                  </a:pPr>
                  <a:endParaRPr lang="pt-PT"/>
                </a:p>
              </c:txPr>
            </c:trendlineLbl>
          </c:trendline>
          <c:xVal>
            <c:numRef>
              <c:f>'Pré-relatório'!$D$19:$D$22</c:f>
              <c:numCache>
                <c:formatCode>0</c:formatCode>
                <c:ptCount val="4"/>
                <c:pt idx="0">
                  <c:v>1256.6370614359173</c:v>
                </c:pt>
                <c:pt idx="1">
                  <c:v>3141.5926535897929</c:v>
                </c:pt>
                <c:pt idx="2">
                  <c:v>6283.1853071795858</c:v>
                </c:pt>
                <c:pt idx="3">
                  <c:v>12566.370614359172</c:v>
                </c:pt>
              </c:numCache>
            </c:numRef>
          </c:xVal>
          <c:yVal>
            <c:numRef>
              <c:f>'Pré-relatório'!$E$19:$E$22</c:f>
              <c:numCache>
                <c:formatCode>0.00</c:formatCode>
                <c:ptCount val="4"/>
                <c:pt idx="0">
                  <c:v>19.632808938781935</c:v>
                </c:pt>
                <c:pt idx="1">
                  <c:v>49.8674664610935</c:v>
                </c:pt>
                <c:pt idx="2">
                  <c:v>98.621160841559004</c:v>
                </c:pt>
                <c:pt idx="3">
                  <c:v>195.27096558372415</c:v>
                </c:pt>
              </c:numCache>
            </c:numRef>
          </c:yVal>
          <c:smooth val="0"/>
          <c:extLst>
            <c:ext xmlns:c16="http://schemas.microsoft.com/office/drawing/2014/chart" uri="{C3380CC4-5D6E-409C-BE32-E72D297353CC}">
              <c16:uniqueId val="{00000001-BE8D-4B2E-B7DA-8618895E3963}"/>
            </c:ext>
          </c:extLst>
        </c:ser>
        <c:dLbls>
          <c:showLegendKey val="0"/>
          <c:showVal val="0"/>
          <c:showCatName val="0"/>
          <c:showSerName val="0"/>
          <c:showPercent val="0"/>
          <c:showBubbleSize val="0"/>
        </c:dLbls>
        <c:axId val="1334857471"/>
        <c:axId val="1"/>
      </c:scatterChart>
      <c:valAx>
        <c:axId val="1334857471"/>
        <c:scaling>
          <c:orientation val="minMax"/>
        </c:scaling>
        <c:delete val="0"/>
        <c:axPos val="b"/>
        <c:title>
          <c:tx>
            <c:rich>
              <a:bodyPr/>
              <a:lstStyle/>
              <a:p>
                <a:pPr>
                  <a:defRPr sz="1200" b="0" i="0" u="none" strike="noStrike" baseline="0">
                    <a:solidFill>
                      <a:srgbClr val="000000"/>
                    </a:solidFill>
                    <a:latin typeface="Calibri"/>
                    <a:ea typeface="Calibri"/>
                    <a:cs typeface="Calibri"/>
                  </a:defRPr>
                </a:pPr>
                <a:r>
                  <a:rPr lang="en-US" sz="1025" b="1" i="0" u="none" strike="noStrike" baseline="0">
                    <a:solidFill>
                      <a:srgbClr val="000000"/>
                    </a:solidFill>
                    <a:latin typeface="Symbol"/>
                  </a:rPr>
                  <a:t>w</a:t>
                </a:r>
                <a:r>
                  <a:rPr lang="en-US" sz="1025" b="1" i="0" u="none" strike="noStrike" baseline="0">
                    <a:solidFill>
                      <a:srgbClr val="000000"/>
                    </a:solidFill>
                    <a:latin typeface="Arial"/>
                    <a:cs typeface="Arial"/>
                  </a:rPr>
                  <a:t> (rad/s)</a:t>
                </a:r>
              </a:p>
            </c:rich>
          </c:tx>
          <c:layout>
            <c:manualLayout>
              <c:xMode val="edge"/>
              <c:yMode val="edge"/>
              <c:x val="0.50131465385008689"/>
              <c:y val="0.8564632545931758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1200" b="0" i="0" u="none" strike="noStrike" baseline="0">
                    <a:solidFill>
                      <a:srgbClr val="000000"/>
                    </a:solidFill>
                    <a:latin typeface="Calibri"/>
                    <a:ea typeface="Calibri"/>
                    <a:cs typeface="Calibri"/>
                  </a:defRPr>
                </a:pPr>
                <a:r>
                  <a:rPr lang="en-US" sz="1025" b="1" i="0" u="none" strike="noStrike" baseline="0">
                    <a:solidFill>
                      <a:srgbClr val="000000"/>
                    </a:solidFill>
                    <a:latin typeface="Symbol"/>
                  </a:rPr>
                  <a:t>w</a:t>
                </a:r>
                <a:r>
                  <a:rPr lang="en-US" sz="1025" b="1" i="0" u="none" strike="noStrike" baseline="0">
                    <a:solidFill>
                      <a:srgbClr val="000000"/>
                    </a:solidFill>
                    <a:latin typeface="Arial"/>
                    <a:cs typeface="Arial"/>
                  </a:rPr>
                  <a:t>L (ohm)</a:t>
                </a:r>
              </a:p>
            </c:rich>
          </c:tx>
          <c:layout>
            <c:manualLayout>
              <c:xMode val="edge"/>
              <c:yMode val="edge"/>
              <c:x val="3.3767256365681564E-2"/>
              <c:y val="0.3069407132931912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334857471"/>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paperSize="9"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1748428027002"/>
          <c:y val="9.8042596378470806E-2"/>
          <c:w val="0.83940541452336659"/>
          <c:h val="0.64708113609790741"/>
        </c:manualLayout>
      </c:layout>
      <c:scatterChart>
        <c:scatterStyle val="lineMarker"/>
        <c:varyColors val="0"/>
        <c:ser>
          <c:idx val="0"/>
          <c:order val="0"/>
          <c:spPr>
            <a:ln w="19050">
              <a:noFill/>
            </a:ln>
          </c:spPr>
          <c:marker>
            <c:symbol val="circle"/>
            <c:size val="7"/>
            <c:spPr>
              <a:noFill/>
              <a:ln>
                <a:solidFill>
                  <a:srgbClr val="FF0000"/>
                </a:solidFill>
                <a:prstDash val="solid"/>
              </a:ln>
            </c:spPr>
          </c:marker>
          <c:trendline>
            <c:spPr>
              <a:ln w="25400">
                <a:solidFill>
                  <a:srgbClr val="000000"/>
                </a:solidFill>
                <a:prstDash val="solid"/>
              </a:ln>
            </c:spPr>
            <c:trendlineType val="linear"/>
            <c:dispRSqr val="0"/>
            <c:dispEq val="1"/>
            <c:trendlineLbl>
              <c:layout>
                <c:manualLayout>
                  <c:x val="-0.82750139840697257"/>
                  <c:y val="-9.2853885702211481E-2"/>
                </c:manualLayout>
              </c:layout>
              <c:numFmt formatCode="0.00E+00" sourceLinked="0"/>
              <c:spPr>
                <a:noFill/>
                <a:ln w="25400">
                  <a:noFill/>
                </a:ln>
              </c:spPr>
              <c:txPr>
                <a:bodyPr/>
                <a:lstStyle/>
                <a:p>
                  <a:pPr>
                    <a:defRPr sz="1025" b="0" i="0" u="none" strike="noStrike" baseline="0">
                      <a:solidFill>
                        <a:srgbClr val="000000"/>
                      </a:solidFill>
                      <a:latin typeface="Arial"/>
                      <a:ea typeface="Arial"/>
                      <a:cs typeface="Arial"/>
                    </a:defRPr>
                  </a:pPr>
                  <a:endParaRPr lang="pt-PT"/>
                </a:p>
              </c:txPr>
            </c:trendlineLbl>
          </c:trendline>
          <c:xVal>
            <c:numRef>
              <c:f>'Pré-relatório'!$D$49:$D$52</c:f>
              <c:numCache>
                <c:formatCode>0</c:formatCode>
                <c:ptCount val="4"/>
                <c:pt idx="0">
                  <c:v>1256.6370614359173</c:v>
                </c:pt>
                <c:pt idx="1">
                  <c:v>3141.5926535897929</c:v>
                </c:pt>
                <c:pt idx="2">
                  <c:v>6283.1853071795858</c:v>
                </c:pt>
                <c:pt idx="3">
                  <c:v>12566.370614359172</c:v>
                </c:pt>
              </c:numCache>
            </c:numRef>
          </c:xVal>
          <c:yVal>
            <c:numRef>
              <c:f>'Pré-relatório'!$E$49:$E$52</c:f>
              <c:numCache>
                <c:formatCode>0.00</c:formatCode>
                <c:ptCount val="4"/>
                <c:pt idx="0">
                  <c:v>2.0117647058823529</c:v>
                </c:pt>
                <c:pt idx="1">
                  <c:v>4.9555555555555557</c:v>
                </c:pt>
                <c:pt idx="2">
                  <c:v>9.8539325842696641</c:v>
                </c:pt>
                <c:pt idx="3">
                  <c:v>18.862745098039216</c:v>
                </c:pt>
              </c:numCache>
            </c:numRef>
          </c:yVal>
          <c:smooth val="0"/>
          <c:extLst>
            <c:ext xmlns:c16="http://schemas.microsoft.com/office/drawing/2014/chart" uri="{C3380CC4-5D6E-409C-BE32-E72D297353CC}">
              <c16:uniqueId val="{00000001-3B0E-4BF1-BAFB-8821A33EAC3C}"/>
            </c:ext>
          </c:extLst>
        </c:ser>
        <c:dLbls>
          <c:showLegendKey val="0"/>
          <c:showVal val="0"/>
          <c:showCatName val="0"/>
          <c:showSerName val="0"/>
          <c:showPercent val="0"/>
          <c:showBubbleSize val="0"/>
        </c:dLbls>
        <c:axId val="1334855391"/>
        <c:axId val="1"/>
      </c:scatterChart>
      <c:valAx>
        <c:axId val="1334855391"/>
        <c:scaling>
          <c:orientation val="minMax"/>
        </c:scaling>
        <c:delete val="0"/>
        <c:axPos val="b"/>
        <c:title>
          <c:tx>
            <c:rich>
              <a:bodyPr/>
              <a:lstStyle/>
              <a:p>
                <a:pPr>
                  <a:defRPr sz="1200" b="0" i="0" u="none" strike="noStrike" baseline="0">
                    <a:solidFill>
                      <a:srgbClr val="000000"/>
                    </a:solidFill>
                    <a:latin typeface="Calibri"/>
                    <a:ea typeface="Calibri"/>
                    <a:cs typeface="Calibri"/>
                  </a:defRPr>
                </a:pPr>
                <a:r>
                  <a:rPr lang="en-US" sz="1025" b="1" i="0" u="none" strike="noStrike" baseline="0">
                    <a:solidFill>
                      <a:srgbClr val="000000"/>
                    </a:solidFill>
                    <a:latin typeface="Symbol"/>
                  </a:rPr>
                  <a:t>w</a:t>
                </a:r>
                <a:r>
                  <a:rPr lang="en-US" sz="1025" b="1" i="0" u="none" strike="noStrike" baseline="0">
                    <a:solidFill>
                      <a:srgbClr val="000000"/>
                    </a:solidFill>
                    <a:latin typeface="Arial"/>
                    <a:cs typeface="Arial"/>
                  </a:rPr>
                  <a:t> (rad/s)</a:t>
                </a:r>
              </a:p>
            </c:rich>
          </c:tx>
          <c:layout>
            <c:manualLayout>
              <c:xMode val="edge"/>
              <c:yMode val="edge"/>
              <c:x val="0.48188078821753499"/>
              <c:y val="0.85787286904670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1025" b="1" i="0" u="none" strike="noStrike" baseline="0">
                    <a:solidFill>
                      <a:srgbClr val="000000"/>
                    </a:solidFill>
                    <a:latin typeface="Arial"/>
                    <a:ea typeface="Arial"/>
                    <a:cs typeface="Arial"/>
                  </a:defRPr>
                </a:pPr>
                <a:r>
                  <a:rPr lang="en-US"/>
                  <a:t>Z1,2 (ohm)</a:t>
                </a:r>
              </a:p>
            </c:rich>
          </c:tx>
          <c:layout>
            <c:manualLayout>
              <c:xMode val="edge"/>
              <c:yMode val="edge"/>
              <c:x val="3.367977642691037E-2"/>
              <c:y val="0.289225594373518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334855391"/>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86168383592626"/>
          <c:y val="7.0424794135407934E-2"/>
          <c:w val="0.80522039980249349"/>
          <c:h val="0.74650281783532413"/>
        </c:manualLayout>
      </c:layout>
      <c:scatterChart>
        <c:scatterStyle val="smoothMarker"/>
        <c:varyColors val="0"/>
        <c:ser>
          <c:idx val="0"/>
          <c:order val="0"/>
          <c:spPr>
            <a:ln w="12700">
              <a:solidFill>
                <a:srgbClr val="000080"/>
              </a:solidFill>
              <a:prstDash val="solid"/>
            </a:ln>
          </c:spPr>
          <c:marker>
            <c:symbol val="none"/>
          </c:marker>
          <c:xVal>
            <c:numRef>
              <c:f>'Pré-relatório'!$K$104:$K$134</c:f>
              <c:numCache>
                <c:formatCode>General</c:formatCode>
                <c:ptCount val="31"/>
                <c:pt idx="0">
                  <c:v>0</c:v>
                </c:pt>
                <c:pt idx="1">
                  <c:v>0.01</c:v>
                </c:pt>
                <c:pt idx="2">
                  <c:v>0.02</c:v>
                </c:pt>
                <c:pt idx="3">
                  <c:v>0.03</c:v>
                </c:pt>
                <c:pt idx="4">
                  <c:v>0.04</c:v>
                </c:pt>
                <c:pt idx="5">
                  <c:v>0.05</c:v>
                </c:pt>
                <c:pt idx="6">
                  <c:v>0.06</c:v>
                </c:pt>
                <c:pt idx="7">
                  <c:v>7.0000000000000007E-2</c:v>
                </c:pt>
                <c:pt idx="8">
                  <c:v>0.08</c:v>
                </c:pt>
                <c:pt idx="9">
                  <c:v>0.09</c:v>
                </c:pt>
                <c:pt idx="10">
                  <c:v>0.1</c:v>
                </c:pt>
                <c:pt idx="11">
                  <c:v>0.12</c:v>
                </c:pt>
                <c:pt idx="12">
                  <c:v>0.14000000000000001</c:v>
                </c:pt>
                <c:pt idx="13">
                  <c:v>0.16</c:v>
                </c:pt>
                <c:pt idx="14">
                  <c:v>0.18</c:v>
                </c:pt>
                <c:pt idx="15">
                  <c:v>0.2</c:v>
                </c:pt>
                <c:pt idx="16">
                  <c:v>0.22</c:v>
                </c:pt>
                <c:pt idx="17">
                  <c:v>0.24</c:v>
                </c:pt>
                <c:pt idx="18">
                  <c:v>0.26</c:v>
                </c:pt>
                <c:pt idx="19">
                  <c:v>0.28000000000000003</c:v>
                </c:pt>
                <c:pt idx="20">
                  <c:v>0.3</c:v>
                </c:pt>
                <c:pt idx="21">
                  <c:v>0.32</c:v>
                </c:pt>
                <c:pt idx="22">
                  <c:v>0.34</c:v>
                </c:pt>
                <c:pt idx="23">
                  <c:v>0.36</c:v>
                </c:pt>
                <c:pt idx="24">
                  <c:v>0.38</c:v>
                </c:pt>
                <c:pt idx="25">
                  <c:v>0.4</c:v>
                </c:pt>
                <c:pt idx="26">
                  <c:v>0.42</c:v>
                </c:pt>
                <c:pt idx="27">
                  <c:v>0.44</c:v>
                </c:pt>
                <c:pt idx="28">
                  <c:v>0.46</c:v>
                </c:pt>
                <c:pt idx="29">
                  <c:v>0.48</c:v>
                </c:pt>
                <c:pt idx="30">
                  <c:v>0.5</c:v>
                </c:pt>
              </c:numCache>
            </c:numRef>
          </c:xVal>
          <c:yVal>
            <c:numRef>
              <c:f>'Pré-relatório'!$L$104:$L$134</c:f>
              <c:numCache>
                <c:formatCode>0.00E+00</c:formatCode>
                <c:ptCount val="31"/>
                <c:pt idx="0">
                  <c:v>1</c:v>
                </c:pt>
                <c:pt idx="1">
                  <c:v>0.98632273773401746</c:v>
                </c:pt>
                <c:pt idx="2">
                  <c:v>0.94710636977290297</c:v>
                </c:pt>
                <c:pt idx="3">
                  <c:v>0.8872602866006305</c:v>
                </c:pt>
                <c:pt idx="4">
                  <c:v>0.81344631749340157</c:v>
                </c:pt>
                <c:pt idx="5">
                  <c:v>0.73254250447704639</c:v>
                </c:pt>
                <c:pt idx="6">
                  <c:v>0.65046399929097787</c:v>
                </c:pt>
                <c:pt idx="7">
                  <c:v>0.57157662086993244</c:v>
                </c:pt>
                <c:pt idx="8">
                  <c:v>0.49863516041194722</c:v>
                </c:pt>
                <c:pt idx="9">
                  <c:v>0.43303764310497628</c:v>
                </c:pt>
                <c:pt idx="10">
                  <c:v>0.37519353581826725</c:v>
                </c:pt>
                <c:pt idx="11">
                  <c:v>0.28150029447629388</c:v>
                </c:pt>
                <c:pt idx="12">
                  <c:v>0.21254690000817575</c:v>
                </c:pt>
                <c:pt idx="13">
                  <c:v>0.16227861119434575</c:v>
                </c:pt>
                <c:pt idx="14">
                  <c:v>0.12554689072432157</c:v>
                </c:pt>
                <c:pt idx="15">
                  <c:v>9.8476069580734849E-2</c:v>
                </c:pt>
                <c:pt idx="16">
                  <c:v>7.829248884107326E-2</c:v>
                </c:pt>
                <c:pt idx="17">
                  <c:v>6.3049354674720184E-2</c:v>
                </c:pt>
                <c:pt idx="18">
                  <c:v>5.1385632952378531E-2</c:v>
                </c:pt>
                <c:pt idx="19">
                  <c:v>4.234584145002171E-2</c:v>
                </c:pt>
                <c:pt idx="20">
                  <c:v>3.5253524550929213E-2</c:v>
                </c:pt>
                <c:pt idx="21">
                  <c:v>2.9624663801744375E-2</c:v>
                </c:pt>
                <c:pt idx="22">
                  <c:v>2.5108900673960165E-2</c:v>
                </c:pt>
                <c:pt idx="23">
                  <c:v>2.1449601661018312E-2</c:v>
                </c:pt>
                <c:pt idx="24">
                  <c:v>1.845656603766696E-2</c:v>
                </c:pt>
                <c:pt idx="25">
                  <c:v>1.5987213643637765E-2</c:v>
                </c:pt>
                <c:pt idx="26">
                  <c:v>1.3933487935585999E-2</c:v>
                </c:pt>
                <c:pt idx="27">
                  <c:v>1.2212640551761883E-2</c:v>
                </c:pt>
                <c:pt idx="28">
                  <c:v>1.0760676427400468E-2</c:v>
                </c:pt>
                <c:pt idx="29">
                  <c:v>9.5276409284143562E-3</c:v>
                </c:pt>
                <c:pt idx="30">
                  <c:v>8.4741955574382313E-3</c:v>
                </c:pt>
              </c:numCache>
            </c:numRef>
          </c:yVal>
          <c:smooth val="1"/>
          <c:extLst>
            <c:ext xmlns:c16="http://schemas.microsoft.com/office/drawing/2014/chart" uri="{C3380CC4-5D6E-409C-BE32-E72D297353CC}">
              <c16:uniqueId val="{00000000-911E-4BD6-82B5-F37CE6A84237}"/>
            </c:ext>
          </c:extLst>
        </c:ser>
        <c:ser>
          <c:idx val="1"/>
          <c:order val="1"/>
          <c:spPr>
            <a:ln w="19050">
              <a:noFill/>
            </a:ln>
          </c:spPr>
          <c:marker>
            <c:symbol val="circle"/>
            <c:size val="7"/>
            <c:spPr>
              <a:noFill/>
              <a:ln>
                <a:solidFill>
                  <a:srgbClr val="FF0000"/>
                </a:solidFill>
                <a:prstDash val="solid"/>
              </a:ln>
            </c:spPr>
          </c:marker>
          <c:xVal>
            <c:numRef>
              <c:f>'Pré-relatório'!$A$109:$A$113</c:f>
              <c:numCache>
                <c:formatCode>General</c:formatCode>
                <c:ptCount val="5"/>
                <c:pt idx="0">
                  <c:v>0</c:v>
                </c:pt>
                <c:pt idx="1">
                  <c:v>0.1</c:v>
                </c:pt>
                <c:pt idx="2">
                  <c:v>0.2</c:v>
                </c:pt>
                <c:pt idx="3">
                  <c:v>0.3</c:v>
                </c:pt>
                <c:pt idx="4">
                  <c:v>0.4</c:v>
                </c:pt>
              </c:numCache>
            </c:numRef>
          </c:xVal>
          <c:yVal>
            <c:numRef>
              <c:f>'Pré-relatório'!$D$109:$D$113</c:f>
              <c:numCache>
                <c:formatCode>0.000</c:formatCode>
                <c:ptCount val="5"/>
                <c:pt idx="0">
                  <c:v>1</c:v>
                </c:pt>
                <c:pt idx="1">
                  <c:v>0.35275754422476591</c:v>
                </c:pt>
                <c:pt idx="2">
                  <c:v>9.4693028095733614E-2</c:v>
                </c:pt>
                <c:pt idx="3">
                  <c:v>3.5379812695109265E-2</c:v>
                </c:pt>
                <c:pt idx="4">
                  <c:v>1.7689906347554633E-2</c:v>
                </c:pt>
              </c:numCache>
            </c:numRef>
          </c:yVal>
          <c:smooth val="1"/>
          <c:extLst>
            <c:ext xmlns:c16="http://schemas.microsoft.com/office/drawing/2014/chart" uri="{C3380CC4-5D6E-409C-BE32-E72D297353CC}">
              <c16:uniqueId val="{00000001-911E-4BD6-82B5-F37CE6A84237}"/>
            </c:ext>
          </c:extLst>
        </c:ser>
        <c:ser>
          <c:idx val="2"/>
          <c:order val="2"/>
          <c:spPr>
            <a:ln w="12700">
              <a:solidFill>
                <a:srgbClr val="993300"/>
              </a:solidFill>
              <a:prstDash val="solid"/>
            </a:ln>
          </c:spPr>
          <c:marker>
            <c:symbol val="none"/>
          </c:marker>
          <c:xVal>
            <c:numRef>
              <c:f>'Pré-relatório'!$O$104:$O$121</c:f>
              <c:numCache>
                <c:formatCode>General</c:formatCode>
                <c:ptCount val="18"/>
                <c:pt idx="0">
                  <c:v>1.0000000000000001E-5</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numCache>
            </c:numRef>
          </c:xVal>
          <c:yVal>
            <c:numRef>
              <c:f>'Pré-relatório'!$P$104:$P$121</c:f>
              <c:numCache>
                <c:formatCode>0.00</c:formatCode>
                <c:ptCount val="18"/>
                <c:pt idx="0">
                  <c:v>1</c:v>
                </c:pt>
                <c:pt idx="1">
                  <c:v>1.0017331238260607</c:v>
                </c:pt>
                <c:pt idx="2">
                  <c:v>1.0069778852764011</c:v>
                </c:pt>
                <c:pt idx="3">
                  <c:v>1.0158735004268376</c:v>
                </c:pt>
                <c:pt idx="4">
                  <c:v>1.0286628031278837</c:v>
                </c:pt>
                <c:pt idx="5">
                  <c:v>1.0457099597624584</c:v>
                </c:pt>
                <c:pt idx="6">
                  <c:v>1.0675286884657715</c:v>
                </c:pt>
                <c:pt idx="7">
                  <c:v>1.0948253285242022</c:v>
                </c:pt>
                <c:pt idx="8">
                  <c:v>1.128564079185493</c:v>
                </c:pt>
                <c:pt idx="9">
                  <c:v>1.1700668498997273</c:v>
                </c:pt>
                <c:pt idx="10">
                  <c:v>1.2211694562777629</c:v>
                </c:pt>
                <c:pt idx="11">
                  <c:v>1.2844736040276787</c:v>
                </c:pt>
                <c:pt idx="12">
                  <c:v>1.3637697362896899</c:v>
                </c:pt>
                <c:pt idx="13">
                  <c:v>1.4647821979070268</c:v>
                </c:pt>
                <c:pt idx="14">
                  <c:v>1.5965647504461593</c:v>
                </c:pt>
                <c:pt idx="15">
                  <c:v>1.7743225827491689</c:v>
                </c:pt>
                <c:pt idx="16">
                  <c:v>2.0257171573172057</c:v>
                </c:pt>
                <c:pt idx="17">
                  <c:v>2.4069896184406341</c:v>
                </c:pt>
              </c:numCache>
            </c:numRef>
          </c:yVal>
          <c:smooth val="1"/>
          <c:extLst>
            <c:ext xmlns:c16="http://schemas.microsoft.com/office/drawing/2014/chart" uri="{C3380CC4-5D6E-409C-BE32-E72D297353CC}">
              <c16:uniqueId val="{00000002-911E-4BD6-82B5-F37CE6A84237}"/>
            </c:ext>
          </c:extLst>
        </c:ser>
        <c:ser>
          <c:idx val="3"/>
          <c:order val="3"/>
          <c:spPr>
            <a:ln w="19050">
              <a:noFill/>
            </a:ln>
          </c:spPr>
          <c:marker>
            <c:symbol val="square"/>
            <c:size val="6"/>
            <c:spPr>
              <a:noFill/>
              <a:ln>
                <a:solidFill>
                  <a:srgbClr val="FF0000"/>
                </a:solidFill>
                <a:prstDash val="solid"/>
              </a:ln>
            </c:spPr>
          </c:marker>
          <c:xVal>
            <c:numRef>
              <c:f>'Pré-relatório'!$B$104:$B$108</c:f>
              <c:numCache>
                <c:formatCode>General</c:formatCode>
                <c:ptCount val="5"/>
                <c:pt idx="0">
                  <c:v>0</c:v>
                </c:pt>
                <c:pt idx="1">
                  <c:v>0.02</c:v>
                </c:pt>
                <c:pt idx="2">
                  <c:v>0.04</c:v>
                </c:pt>
                <c:pt idx="3">
                  <c:v>0.06</c:v>
                </c:pt>
                <c:pt idx="4">
                  <c:v>0.08</c:v>
                </c:pt>
              </c:numCache>
            </c:numRef>
          </c:xVal>
          <c:yVal>
            <c:numRef>
              <c:f>'Pré-relatório'!$D$104:$D$108</c:f>
              <c:numCache>
                <c:formatCode>0.000</c:formatCode>
                <c:ptCount val="5"/>
                <c:pt idx="0">
                  <c:v>1</c:v>
                </c:pt>
                <c:pt idx="1">
                  <c:v>1.0300829875518673</c:v>
                </c:pt>
                <c:pt idx="2">
                  <c:v>1.1338174273858921</c:v>
                </c:pt>
                <c:pt idx="3">
                  <c:v>1.3817427385892118</c:v>
                </c:pt>
                <c:pt idx="4">
                  <c:v>2.0134854771784232</c:v>
                </c:pt>
              </c:numCache>
            </c:numRef>
          </c:yVal>
          <c:smooth val="1"/>
          <c:extLst>
            <c:ext xmlns:c16="http://schemas.microsoft.com/office/drawing/2014/chart" uri="{C3380CC4-5D6E-409C-BE32-E72D297353CC}">
              <c16:uniqueId val="{00000003-911E-4BD6-82B5-F37CE6A84237}"/>
            </c:ext>
          </c:extLst>
        </c:ser>
        <c:dLbls>
          <c:showLegendKey val="0"/>
          <c:showVal val="0"/>
          <c:showCatName val="0"/>
          <c:showSerName val="0"/>
          <c:showPercent val="0"/>
          <c:showBubbleSize val="0"/>
        </c:dLbls>
        <c:axId val="1334857887"/>
        <c:axId val="1"/>
      </c:scatterChart>
      <c:valAx>
        <c:axId val="1334857887"/>
        <c:scaling>
          <c:orientation val="minMax"/>
          <c:max val="0.5"/>
        </c:scaling>
        <c:delete val="0"/>
        <c:axPos val="b"/>
        <c:title>
          <c:tx>
            <c:rich>
              <a:bodyPr/>
              <a:lstStyle/>
              <a:p>
                <a:pPr>
                  <a:defRPr sz="1025" b="1" i="0" u="none" strike="noStrike" baseline="0">
                    <a:solidFill>
                      <a:srgbClr val="000000"/>
                    </a:solidFill>
                    <a:latin typeface="Arial"/>
                    <a:ea typeface="Arial"/>
                    <a:cs typeface="Arial"/>
                  </a:defRPr>
                </a:pPr>
                <a:r>
                  <a:rPr lang="en-US"/>
                  <a:t>z, rho (m)</a:t>
                </a:r>
              </a:p>
            </c:rich>
          </c:tx>
          <c:layout>
            <c:manualLayout>
              <c:xMode val="edge"/>
              <c:yMode val="edge"/>
              <c:x val="0.48313222210860007"/>
              <c:y val="0.897915992208291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1025" b="1" i="0" u="none" strike="noStrike" baseline="0">
                    <a:solidFill>
                      <a:srgbClr val="000000"/>
                    </a:solidFill>
                    <a:latin typeface="Arial"/>
                    <a:ea typeface="Arial"/>
                    <a:cs typeface="Arial"/>
                  </a:defRPr>
                </a:pPr>
                <a:r>
                  <a:rPr lang="en-US"/>
                  <a:t>B(0,z)/B(0,0), B(rho,0)/B(0,0)</a:t>
                </a:r>
              </a:p>
            </c:rich>
          </c:tx>
          <c:layout>
            <c:manualLayout>
              <c:xMode val="edge"/>
              <c:yMode val="edge"/>
              <c:x val="3.3767256365681564E-2"/>
              <c:y val="0.2042319405196301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334857887"/>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0</xdr:colOff>
      <xdr:row>23</xdr:row>
      <xdr:rowOff>66675</xdr:rowOff>
    </xdr:from>
    <xdr:to>
      <xdr:col>7</xdr:col>
      <xdr:colOff>771525</xdr:colOff>
      <xdr:row>38</xdr:row>
      <xdr:rowOff>152400</xdr:rowOff>
    </xdr:to>
    <xdr:graphicFrame macro="">
      <xdr:nvGraphicFramePr>
        <xdr:cNvPr id="1094" name="Gráfico 1">
          <a:extLst>
            <a:ext uri="{FF2B5EF4-FFF2-40B4-BE49-F238E27FC236}">
              <a16:creationId xmlns:a16="http://schemas.microsoft.com/office/drawing/2014/main" id="{00000000-0008-0000-0000-00004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52</xdr:row>
      <xdr:rowOff>114300</xdr:rowOff>
    </xdr:from>
    <xdr:to>
      <xdr:col>8</xdr:col>
      <xdr:colOff>9525</xdr:colOff>
      <xdr:row>68</xdr:row>
      <xdr:rowOff>66675</xdr:rowOff>
    </xdr:to>
    <xdr:graphicFrame macro="">
      <xdr:nvGraphicFramePr>
        <xdr:cNvPr id="1095" name="Gráfico 3">
          <a:extLst>
            <a:ext uri="{FF2B5EF4-FFF2-40B4-BE49-F238E27FC236}">
              <a16:creationId xmlns:a16="http://schemas.microsoft.com/office/drawing/2014/main" id="{00000000-0008-0000-0000-000047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38100</xdr:colOff>
          <xdr:row>76</xdr:row>
          <xdr:rowOff>76200</xdr:rowOff>
        </xdr:from>
        <xdr:to>
          <xdr:col>1</xdr:col>
          <xdr:colOff>76200</xdr:colOff>
          <xdr:row>79</xdr:row>
          <xdr:rowOff>38100</xdr:rowOff>
        </xdr:to>
        <xdr:sp macro="" textlink="">
          <xdr:nvSpPr>
            <xdr:cNvPr id="1028" name="Object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0</xdr:col>
      <xdr:colOff>873978</xdr:colOff>
      <xdr:row>113</xdr:row>
      <xdr:rowOff>123825</xdr:rowOff>
    </xdr:from>
    <xdr:to>
      <xdr:col>8</xdr:col>
      <xdr:colOff>0</xdr:colOff>
      <xdr:row>135</xdr:row>
      <xdr:rowOff>95250</xdr:rowOff>
    </xdr:to>
    <xdr:graphicFrame macro="">
      <xdr:nvGraphicFramePr>
        <xdr:cNvPr id="1096" name="Gráfico 6">
          <a:extLst>
            <a:ext uri="{FF2B5EF4-FFF2-40B4-BE49-F238E27FC236}">
              <a16:creationId xmlns:a16="http://schemas.microsoft.com/office/drawing/2014/main" id="{00000000-0008-0000-0000-00004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9</xdr:col>
          <xdr:colOff>596900</xdr:colOff>
          <xdr:row>0</xdr:row>
          <xdr:rowOff>1790700</xdr:rowOff>
        </xdr:to>
        <xdr:sp macro="" textlink="">
          <xdr:nvSpPr>
            <xdr:cNvPr id="1034" name="Object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fLocksWithSheet="0"/>
      </xdr:twoCellAnchor>
    </mc:Choice>
    <mc:Fallback/>
  </mc:AlternateContent>
  <xdr:twoCellAnchor>
    <xdr:from>
      <xdr:col>6</xdr:col>
      <xdr:colOff>0</xdr:colOff>
      <xdr:row>1</xdr:row>
      <xdr:rowOff>34925</xdr:rowOff>
    </xdr:from>
    <xdr:to>
      <xdr:col>9</xdr:col>
      <xdr:colOff>0</xdr:colOff>
      <xdr:row>7</xdr:row>
      <xdr:rowOff>4</xdr:rowOff>
    </xdr:to>
    <xdr:sp macro="" textlink="">
      <xdr:nvSpPr>
        <xdr:cNvPr id="1045" name="Text Box 21">
          <a:extLst>
            <a:ext uri="{FF2B5EF4-FFF2-40B4-BE49-F238E27FC236}">
              <a16:creationId xmlns:a16="http://schemas.microsoft.com/office/drawing/2014/main" id="{00000000-0008-0000-0000-000015040000}"/>
            </a:ext>
          </a:extLst>
        </xdr:cNvPr>
        <xdr:cNvSpPr txBox="1">
          <a:spLocks noChangeArrowheads="1"/>
        </xdr:cNvSpPr>
      </xdr:nvSpPr>
      <xdr:spPr bwMode="auto">
        <a:xfrm>
          <a:off x="4191000" y="1816100"/>
          <a:ext cx="2146300" cy="1003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pt-PT" sz="1000" b="0" i="0" u="none" strike="noStrike" baseline="0">
              <a:solidFill>
                <a:srgbClr val="FF0000"/>
              </a:solidFill>
              <a:latin typeface="Arial" pitchFamily="2" charset="0"/>
              <a:cs typeface="Arial" pitchFamily="2" charset="0"/>
            </a:rPr>
            <a:t>ATENÇÃO: precisa de abrir e instalar o pacote contido em </a:t>
          </a:r>
        </a:p>
        <a:p>
          <a:pPr algn="ctr" rtl="0">
            <a:defRPr sz="1000"/>
          </a:pPr>
          <a:r>
            <a:rPr lang="pt-PT" sz="1000" b="0" i="0" u="none" strike="noStrike" baseline="0">
              <a:solidFill>
                <a:srgbClr val="FF0000"/>
              </a:solidFill>
              <a:latin typeface="Arial" pitchFamily="2" charset="0"/>
              <a:cs typeface="Arial" pitchFamily="2" charset="0"/>
            </a:rPr>
            <a:t>EllipticAddIn.xls. Em princípio deveria ser automático.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0</xdr:colOff>
          <xdr:row>0</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PT" sz="1000" b="0" i="0" u="none" strike="noStrike" baseline="0">
                  <a:solidFill>
                    <a:srgbClr val="000000"/>
                  </a:solidFill>
                  <a:latin typeface="Arial" pitchFamily="2" charset="0"/>
                  <a:cs typeface="Arial" pitchFamily="2" charset="0"/>
                </a:rPr>
                <a:t>solve</a:t>
              </a:r>
            </a:p>
          </xdr:txBody>
        </xdr:sp>
        <xdr:clientData fPrintsWithSheet="0"/>
      </xdr:twoCellAnchor>
    </mc:Choice>
    <mc:Fallback/>
  </mc:AlternateContent>
  <xdr:twoCellAnchor>
    <xdr:from>
      <xdr:col>0</xdr:col>
      <xdr:colOff>266700</xdr:colOff>
      <xdr:row>32</xdr:row>
      <xdr:rowOff>127000</xdr:rowOff>
    </xdr:from>
    <xdr:to>
      <xdr:col>6</xdr:col>
      <xdr:colOff>438150</xdr:colOff>
      <xdr:row>49</xdr:row>
      <xdr:rowOff>0</xdr:rowOff>
    </xdr:to>
    <xdr:sp macro="" textlink="">
      <xdr:nvSpPr>
        <xdr:cNvPr id="2050" name="Rectangle 2">
          <a:extLst>
            <a:ext uri="{FF2B5EF4-FFF2-40B4-BE49-F238E27FC236}">
              <a16:creationId xmlns:a16="http://schemas.microsoft.com/office/drawing/2014/main" id="{00000000-0008-0000-0100-000002080000}"/>
            </a:ext>
          </a:extLst>
        </xdr:cNvPr>
        <xdr:cNvSpPr>
          <a:spLocks noChangeArrowheads="1"/>
        </xdr:cNvSpPr>
      </xdr:nvSpPr>
      <xdr:spPr bwMode="auto">
        <a:xfrm>
          <a:off x="304800" y="5473700"/>
          <a:ext cx="4229100" cy="26797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pt-PT" sz="1000" b="1" i="0" u="none" strike="noStrike" baseline="0">
              <a:solidFill>
                <a:srgbClr val="000000"/>
              </a:solidFill>
              <a:latin typeface="Arial" pitchFamily="2" charset="0"/>
              <a:cs typeface="Arial" pitchFamily="2" charset="0"/>
            </a:rPr>
            <a:t>Ellip_E()</a:t>
          </a:r>
          <a:r>
            <a:rPr lang="pt-PT" sz="1000" b="0" i="0" u="none" strike="noStrike" baseline="0">
              <a:solidFill>
                <a:srgbClr val="000000"/>
              </a:solidFill>
              <a:latin typeface="Arial" charset="0"/>
              <a:cs typeface="Arial" charset="0"/>
            </a:rPr>
            <a:t> and </a:t>
          </a:r>
          <a:r>
            <a:rPr lang="pt-PT" sz="1000" b="1" i="0" u="none" strike="noStrike" baseline="0">
              <a:solidFill>
                <a:srgbClr val="000000"/>
              </a:solidFill>
              <a:latin typeface="Arial" pitchFamily="2" charset="0"/>
              <a:cs typeface="Arial" pitchFamily="2" charset="0"/>
            </a:rPr>
            <a:t>Ellip_F()</a:t>
          </a:r>
          <a:r>
            <a:rPr lang="pt-PT" sz="1000" b="0" i="0" u="none" strike="noStrike" baseline="0">
              <a:solidFill>
                <a:srgbClr val="000000"/>
              </a:solidFill>
              <a:latin typeface="Arial" charset="0"/>
              <a:cs typeface="Arial" charset="0"/>
            </a:rPr>
            <a:t> are visual basic functions for calculating the incomplete elliptic integrals of the first and second kind, based upon the definition provided in </a:t>
          </a:r>
          <a:r>
            <a:rPr lang="pt-PT" sz="1000" b="0" i="1" u="none" strike="noStrike" baseline="0">
              <a:solidFill>
                <a:srgbClr val="000000"/>
              </a:solidFill>
              <a:latin typeface="Arial" pitchFamily="2" charset="0"/>
              <a:cs typeface="Arial" pitchFamily="2" charset="0"/>
            </a:rPr>
            <a:t>Compliant Mechanisms</a:t>
          </a:r>
          <a:r>
            <a:rPr lang="pt-PT" sz="1000" b="0" i="0" u="none" strike="noStrike" baseline="0">
              <a:solidFill>
                <a:srgbClr val="000000"/>
              </a:solidFill>
              <a:latin typeface="Arial" charset="0"/>
              <a:cs typeface="Arial" charset="0"/>
            </a:rPr>
            <a:t>. Why? Well, because that is the only place I've ever had to use them - for large deflections of beams.</a:t>
          </a:r>
        </a:p>
        <a:p>
          <a:pPr algn="l" rtl="0">
            <a:defRPr sz="1000"/>
          </a:pPr>
          <a:endParaRPr lang="pt-PT" sz="1000" b="0" i="0" u="none" strike="noStrike" baseline="0">
            <a:solidFill>
              <a:srgbClr val="000000"/>
            </a:solidFill>
            <a:latin typeface="Arial" charset="0"/>
            <a:cs typeface="Arial" charset="0"/>
          </a:endParaRPr>
        </a:p>
        <a:p>
          <a:pPr algn="l" rtl="0">
            <a:defRPr sz="1000"/>
          </a:pPr>
          <a:r>
            <a:rPr lang="pt-PT" sz="1000" b="0" i="0" u="none" strike="noStrike" baseline="0">
              <a:solidFill>
                <a:srgbClr val="000000"/>
              </a:solidFill>
              <a:latin typeface="Arial" charset="0"/>
              <a:cs typeface="Arial" charset="0"/>
            </a:rPr>
            <a:t>The functions Ellip_E() and Ellip_F() are described in the "paste function" window that can be accessed by:</a:t>
          </a:r>
        </a:p>
        <a:p>
          <a:pPr algn="l" rtl="0">
            <a:defRPr sz="1000"/>
          </a:pPr>
          <a:r>
            <a:rPr lang="pt-PT" sz="1000" b="1" i="0" u="sng" strike="noStrike" baseline="0">
              <a:solidFill>
                <a:srgbClr val="000000"/>
              </a:solidFill>
              <a:latin typeface="Arial" pitchFamily="2" charset="0"/>
              <a:cs typeface="Arial" pitchFamily="2" charset="0"/>
            </a:rPr>
            <a:t>I</a:t>
          </a:r>
          <a:r>
            <a:rPr lang="pt-PT" sz="1000" b="1" i="0" u="none" strike="noStrike" baseline="0">
              <a:solidFill>
                <a:srgbClr val="000000"/>
              </a:solidFill>
              <a:latin typeface="Arial" pitchFamily="2" charset="0"/>
              <a:cs typeface="Arial" pitchFamily="2" charset="0"/>
            </a:rPr>
            <a:t>nsert</a:t>
          </a:r>
          <a:r>
            <a:rPr lang="pt-PT" sz="1000" b="0" i="0" u="none" strike="noStrike" baseline="0">
              <a:solidFill>
                <a:srgbClr val="000000"/>
              </a:solidFill>
              <a:latin typeface="Arial" charset="0"/>
              <a:cs typeface="Arial" charset="0"/>
            </a:rPr>
            <a:t> --&gt; </a:t>
          </a:r>
          <a:r>
            <a:rPr lang="pt-PT" sz="1000" b="1" i="0" u="sng" strike="noStrike" baseline="0">
              <a:solidFill>
                <a:srgbClr val="000000"/>
              </a:solidFill>
              <a:latin typeface="Arial" pitchFamily="2" charset="0"/>
              <a:cs typeface="Arial" pitchFamily="2" charset="0"/>
            </a:rPr>
            <a:t>F</a:t>
          </a:r>
          <a:r>
            <a:rPr lang="pt-PT" sz="1000" b="1" i="0" u="none" strike="noStrike" baseline="0">
              <a:solidFill>
                <a:srgbClr val="000000"/>
              </a:solidFill>
              <a:latin typeface="Arial" pitchFamily="2" charset="0"/>
              <a:cs typeface="Arial" pitchFamily="2" charset="0"/>
            </a:rPr>
            <a:t>unction...</a:t>
          </a:r>
          <a:r>
            <a:rPr lang="pt-PT" sz="1000" b="0" i="0" u="none" strike="noStrike" baseline="0">
              <a:solidFill>
                <a:srgbClr val="000000"/>
              </a:solidFill>
              <a:latin typeface="Arial" pitchFamily="2" charset="0"/>
              <a:cs typeface="Arial" pitchFamily="2" charset="0"/>
            </a:rPr>
            <a:t> </a:t>
          </a:r>
        </a:p>
        <a:p>
          <a:pPr algn="l" rtl="0">
            <a:defRPr sz="1000"/>
          </a:pPr>
          <a:r>
            <a:rPr lang="pt-PT" sz="1000" b="0" i="0" u="none" strike="noStrike" baseline="0">
              <a:solidFill>
                <a:srgbClr val="000000"/>
              </a:solidFill>
              <a:latin typeface="Arial" pitchFamily="2" charset="0"/>
              <a:cs typeface="Arial" pitchFamily="2" charset="0"/>
            </a:rPr>
            <a:t>They are in the "User Defined" Category</a:t>
          </a:r>
        </a:p>
        <a:p>
          <a:pPr algn="l" rtl="0">
            <a:defRPr sz="1000"/>
          </a:pPr>
          <a:endParaRPr lang="pt-PT" sz="1000" b="0" i="0" u="none" strike="noStrike" baseline="0">
            <a:solidFill>
              <a:srgbClr val="000000"/>
            </a:solidFill>
            <a:latin typeface="Arial" pitchFamily="2" charset="0"/>
            <a:cs typeface="Arial" pitchFamily="2" charset="0"/>
          </a:endParaRPr>
        </a:p>
        <a:p>
          <a:pPr algn="l" rtl="0">
            <a:defRPr sz="1000"/>
          </a:pPr>
          <a:r>
            <a:rPr lang="pt-PT" sz="1000" b="0" i="0" u="none" strike="noStrike" baseline="0">
              <a:solidFill>
                <a:srgbClr val="000000"/>
              </a:solidFill>
              <a:latin typeface="Arial" pitchFamily="2" charset="0"/>
              <a:cs typeface="Arial" pitchFamily="2" charset="0"/>
            </a:rPr>
            <a:t>An example of their use is provided in this spreadsheet. When comparing to the tables in </a:t>
          </a:r>
          <a:r>
            <a:rPr lang="pt-PT" sz="1000" b="0" i="1" u="none" strike="noStrike" baseline="0">
              <a:solidFill>
                <a:srgbClr val="000000"/>
              </a:solidFill>
              <a:latin typeface="Arial" pitchFamily="2" charset="0"/>
              <a:cs typeface="Arial" pitchFamily="2" charset="0"/>
            </a:rPr>
            <a:t>Handbook of ...</a:t>
          </a:r>
          <a:r>
            <a:rPr lang="pt-PT" sz="1000" b="0" i="0" u="none" strike="noStrike" baseline="0">
              <a:solidFill>
                <a:srgbClr val="000000"/>
              </a:solidFill>
              <a:latin typeface="Arial" pitchFamily="2" charset="0"/>
              <a:cs typeface="Arial" pitchFamily="2" charset="0"/>
            </a:rPr>
            <a:t>, note that the arguments </a:t>
          </a:r>
          <a:r>
            <a:rPr lang="pt-PT" sz="1000" b="0" i="0" u="none" strike="noStrike" baseline="0">
              <a:solidFill>
                <a:srgbClr val="000000"/>
              </a:solidFill>
              <a:latin typeface="Symbol" pitchFamily="1" charset="2"/>
              <a:cs typeface="Arial" pitchFamily="2" charset="0"/>
            </a:rPr>
            <a:t>a</a:t>
          </a:r>
          <a:r>
            <a:rPr lang="pt-PT" sz="1000" b="0" i="0" u="none" strike="noStrike" baseline="0">
              <a:solidFill>
                <a:srgbClr val="000000"/>
              </a:solidFill>
              <a:latin typeface="Arial" pitchFamily="2" charset="0"/>
              <a:cs typeface="Arial" pitchFamily="2" charset="0"/>
            </a:rPr>
            <a:t> and </a:t>
          </a:r>
          <a:r>
            <a:rPr lang="pt-PT" sz="1000" b="0" i="0" u="none" strike="noStrike" baseline="0">
              <a:solidFill>
                <a:srgbClr val="000000"/>
              </a:solidFill>
              <a:latin typeface="Symbol" pitchFamily="1" charset="2"/>
              <a:cs typeface="Arial" pitchFamily="2" charset="0"/>
            </a:rPr>
            <a:t>j</a:t>
          </a:r>
          <a:r>
            <a:rPr lang="pt-PT" sz="1000" b="0" i="0" u="none" strike="noStrike" baseline="0">
              <a:solidFill>
                <a:srgbClr val="000000"/>
              </a:solidFill>
              <a:latin typeface="Arial" pitchFamily="2" charset="0"/>
              <a:cs typeface="Arial" pitchFamily="2" charset="0"/>
            </a:rPr>
            <a:t> must be "transformed" to </a:t>
          </a:r>
          <a:r>
            <a:rPr lang="pt-PT" sz="1000" b="0" i="0" u="none" strike="noStrike" baseline="0">
              <a:solidFill>
                <a:srgbClr val="000000"/>
              </a:solidFill>
              <a:latin typeface="Symbol" pitchFamily="1" charset="2"/>
              <a:cs typeface="Arial" pitchFamily="2" charset="0"/>
            </a:rPr>
            <a:t>f</a:t>
          </a:r>
          <a:r>
            <a:rPr lang="pt-PT" sz="1000" b="0" i="0" u="none" strike="noStrike" baseline="0">
              <a:solidFill>
                <a:srgbClr val="000000"/>
              </a:solidFill>
              <a:latin typeface="Arial" pitchFamily="2" charset="0"/>
              <a:cs typeface="Arial" pitchFamily="2" charset="0"/>
            </a:rPr>
            <a:t> and k which are defined in </a:t>
          </a:r>
          <a:r>
            <a:rPr lang="pt-PT" sz="1000" b="0" i="1" u="none" strike="noStrike" baseline="0">
              <a:solidFill>
                <a:srgbClr val="000000"/>
              </a:solidFill>
              <a:latin typeface="Arial" pitchFamily="2" charset="0"/>
              <a:cs typeface="Arial" pitchFamily="2" charset="0"/>
            </a:rPr>
            <a:t>Compliant Mechanisms</a:t>
          </a:r>
          <a:r>
            <a:rPr lang="pt-PT" sz="1000" b="0" i="0" u="none" strike="noStrike" baseline="0">
              <a:solidFill>
                <a:srgbClr val="000000"/>
              </a:solidFill>
              <a:latin typeface="Arial" pitchFamily="2" charset="0"/>
              <a:cs typeface="Arial" pitchFamily="2" charset="0"/>
            </a:rPr>
            <a:t>.</a:t>
          </a:r>
        </a:p>
      </xdr:txBody>
    </xdr:sp>
    <xdr:clientData/>
  </xdr:twoCellAnchor>
  <xdr:twoCellAnchor editAs="oneCell">
    <xdr:from>
      <xdr:col>8</xdr:col>
      <xdr:colOff>0</xdr:colOff>
      <xdr:row>34</xdr:row>
      <xdr:rowOff>0</xdr:rowOff>
    </xdr:from>
    <xdr:to>
      <xdr:col>13</xdr:col>
      <xdr:colOff>0</xdr:colOff>
      <xdr:row>39</xdr:row>
      <xdr:rowOff>50800</xdr:rowOff>
    </xdr:to>
    <xdr:sp macro="" textlink="">
      <xdr:nvSpPr>
        <xdr:cNvPr id="2052" name="Rectangle 4">
          <a:extLst>
            <a:ext uri="{FF2B5EF4-FFF2-40B4-BE49-F238E27FC236}">
              <a16:creationId xmlns:a16="http://schemas.microsoft.com/office/drawing/2014/main" id="{00000000-0008-0000-0100-000004080000}"/>
            </a:ext>
          </a:extLst>
        </xdr:cNvPr>
        <xdr:cNvSpPr>
          <a:spLocks noChangeArrowheads="1"/>
        </xdr:cNvSpPr>
      </xdr:nvSpPr>
      <xdr:spPr bwMode="auto">
        <a:xfrm>
          <a:off x="5384800" y="5676900"/>
          <a:ext cx="3365500" cy="876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pt-PT" sz="800" b="0" i="0" u="none" strike="noStrike" baseline="0">
              <a:solidFill>
                <a:srgbClr val="000000"/>
              </a:solidFill>
              <a:latin typeface="Arial" pitchFamily="2" charset="0"/>
              <a:cs typeface="Arial" pitchFamily="2" charset="0"/>
            </a:rPr>
            <a:t>Version: 1.0  --- The first version placed on the web.</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working/waccache/fa78dbf2-4127-4fbc-8fbd-90953ba0feeb/pack3-Indu&#231;&#227;o/EllipticAdd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EllipticAddIn"/>
    </sheetNames>
    <definedNames>
      <definedName name="EllipticIntegrals"/>
    </definedNames>
    <sheetDataSet>
      <sheetData sheetId="0" refreshError="1"/>
      <sheetData sheetId="1"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Folha_de_C_lculo_do_Microsoft_Excel_97_-_2004.xls"/><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www.et.byu.edu/~jww8/" TargetMode="External"/><Relationship Id="rId5" Type="http://schemas.openxmlformats.org/officeDocument/2006/relationships/comments" Target="../comments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lha1"/>
  <dimension ref="A1:S142"/>
  <sheetViews>
    <sheetView showGridLines="0" tabSelected="1" zoomScale="186" zoomScaleNormal="80" workbookViewId="0">
      <selection activeCell="A139" sqref="A139:J142"/>
    </sheetView>
  </sheetViews>
  <sheetFormatPr baseColWidth="10" defaultColWidth="8.83203125" defaultRowHeight="13" x14ac:dyDescent="0.15"/>
  <cols>
    <col min="1" max="1" width="11.5" customWidth="1"/>
    <col min="2" max="2" width="8.5" customWidth="1"/>
    <col min="3" max="5" width="11.5" customWidth="1"/>
    <col min="6" max="6" width="9.83203125" customWidth="1"/>
    <col min="7" max="8" width="11.5" customWidth="1"/>
    <col min="9" max="9" width="9.83203125" customWidth="1"/>
    <col min="10" max="10" width="11.1640625" bestFit="1" customWidth="1"/>
    <col min="11" max="11" width="9.6640625" style="1" customWidth="1"/>
    <col min="12" max="13" width="11.5" style="1" customWidth="1"/>
    <col min="14" max="14" width="12.5" style="1" customWidth="1"/>
    <col min="15" max="16" width="11.5" style="1" customWidth="1"/>
    <col min="17" max="17" width="10.6640625" style="1" customWidth="1"/>
    <col min="18" max="18" width="11.5" style="1" customWidth="1"/>
    <col min="19" max="256" width="11.5" customWidth="1"/>
  </cols>
  <sheetData>
    <row r="1" spans="1:11" ht="141.75" customHeight="1" x14ac:dyDescent="0.15"/>
    <row r="3" spans="1:11" ht="16" x14ac:dyDescent="0.2">
      <c r="A3" s="16" t="s">
        <v>0</v>
      </c>
    </row>
    <row r="4" spans="1:11" x14ac:dyDescent="0.15">
      <c r="A4" s="15" t="s">
        <v>1</v>
      </c>
      <c r="B4">
        <v>200</v>
      </c>
    </row>
    <row r="5" spans="1:11" x14ac:dyDescent="0.15">
      <c r="A5" s="15" t="s">
        <v>2</v>
      </c>
      <c r="B5">
        <f>0.1105</f>
        <v>0.1105</v>
      </c>
      <c r="C5" t="s">
        <v>3</v>
      </c>
      <c r="D5" s="8" t="s">
        <v>4</v>
      </c>
      <c r="E5" s="20">
        <f>c_1/(LN(_re1/_ri1))</f>
        <v>0.10412497998169444</v>
      </c>
      <c r="F5" t="s">
        <v>3</v>
      </c>
    </row>
    <row r="6" spans="1:11" x14ac:dyDescent="0.15">
      <c r="A6" s="15" t="s">
        <v>5</v>
      </c>
      <c r="B6">
        <v>9.8000000000000004E-2</v>
      </c>
      <c r="C6" t="s">
        <v>3</v>
      </c>
      <c r="D6" s="8" t="s">
        <v>6</v>
      </c>
      <c r="E6" s="20">
        <v>1.2500000000000001E-2</v>
      </c>
      <c r="F6" t="s">
        <v>3</v>
      </c>
    </row>
    <row r="7" spans="1:11" x14ac:dyDescent="0.15">
      <c r="A7" s="15" t="s">
        <v>7</v>
      </c>
      <c r="B7">
        <v>1.4999999999999999E-2</v>
      </c>
      <c r="C7" t="s">
        <v>3</v>
      </c>
    </row>
    <row r="8" spans="1:11" x14ac:dyDescent="0.15">
      <c r="A8" s="15"/>
      <c r="G8" s="18"/>
      <c r="H8" s="19" t="s">
        <v>8</v>
      </c>
      <c r="I8" s="48">
        <f>Ellip_E(meioPi,K8)</f>
        <v>1.0006368668570809</v>
      </c>
      <c r="K8" s="1">
        <v>0.99987330355519011</v>
      </c>
    </row>
    <row r="9" spans="1:11" x14ac:dyDescent="0.15">
      <c r="A9" s="15" t="s">
        <v>9</v>
      </c>
      <c r="B9">
        <v>2000</v>
      </c>
      <c r="C9" t="s">
        <v>3</v>
      </c>
    </row>
    <row r="10" spans="1:11" x14ac:dyDescent="0.15">
      <c r="A10" s="15" t="s">
        <v>10</v>
      </c>
      <c r="B10">
        <v>1.7999999999999999E-2</v>
      </c>
      <c r="C10" t="s">
        <v>3</v>
      </c>
      <c r="D10" s="8" t="s">
        <v>11</v>
      </c>
      <c r="E10" s="49">
        <f>c_2/(LN(_re2/_ri2))</f>
        <v>1.4213876625215857E-2</v>
      </c>
      <c r="F10" t="s">
        <v>3</v>
      </c>
    </row>
    <row r="11" spans="1:11" x14ac:dyDescent="0.15">
      <c r="A11" s="15" t="s">
        <v>12</v>
      </c>
      <c r="B11">
        <v>1.0999999999999999E-2</v>
      </c>
      <c r="C11" t="s">
        <v>3</v>
      </c>
      <c r="D11" s="8" t="s">
        <v>13</v>
      </c>
      <c r="E11" s="20">
        <v>7.0000000000000001E-3</v>
      </c>
      <c r="F11" t="s">
        <v>3</v>
      </c>
    </row>
    <row r="12" spans="1:11" x14ac:dyDescent="0.15">
      <c r="A12" s="15" t="s">
        <v>14</v>
      </c>
      <c r="B12">
        <v>4.0000000000000001E-3</v>
      </c>
      <c r="C12" t="s">
        <v>3</v>
      </c>
    </row>
    <row r="14" spans="1:11" ht="16" x14ac:dyDescent="0.2">
      <c r="A14" s="16" t="s">
        <v>15</v>
      </c>
    </row>
    <row r="15" spans="1:11" x14ac:dyDescent="0.15">
      <c r="A15" s="2"/>
    </row>
    <row r="16" spans="1:11" x14ac:dyDescent="0.15">
      <c r="A16" s="15" t="s">
        <v>16</v>
      </c>
      <c r="B16">
        <v>7.1</v>
      </c>
      <c r="C16" t="s">
        <v>17</v>
      </c>
    </row>
    <row r="17" spans="1:14" x14ac:dyDescent="0.15">
      <c r="A17" s="3"/>
      <c r="N17" s="1">
        <f>4*PI()*0.0000001</f>
        <v>1.2566370614359173E-6</v>
      </c>
    </row>
    <row r="18" spans="1:14" ht="28" x14ac:dyDescent="0.15">
      <c r="A18" s="14" t="s">
        <v>18</v>
      </c>
      <c r="B18" s="14" t="s">
        <v>19</v>
      </c>
      <c r="C18" s="14" t="s">
        <v>20</v>
      </c>
      <c r="D18" s="14" t="s">
        <v>21</v>
      </c>
      <c r="E18" s="14" t="s">
        <v>22</v>
      </c>
      <c r="F18" s="14" t="s">
        <v>23</v>
      </c>
      <c r="G18" s="13" t="s">
        <v>82</v>
      </c>
      <c r="H18" s="14" t="s">
        <v>24</v>
      </c>
      <c r="I18" s="14" t="s">
        <v>25</v>
      </c>
      <c r="J18" s="14" t="s">
        <v>26</v>
      </c>
    </row>
    <row r="19" spans="1:14" x14ac:dyDescent="0.15">
      <c r="A19">
        <v>200</v>
      </c>
      <c r="B19" s="4">
        <v>0.17100000000000001</v>
      </c>
      <c r="C19" s="5">
        <v>3.57</v>
      </c>
      <c r="D19" s="21">
        <f>2*PI()*A19</f>
        <v>1256.6370614359173</v>
      </c>
      <c r="E19" s="23">
        <f>SQRT((C19/B19)^2-($B$16)^2)</f>
        <v>19.632808938781935</v>
      </c>
      <c r="F19" s="6">
        <f>LINEST(E19:E22,D19:D22)</f>
        <v>1.550091723027066E-2</v>
      </c>
      <c r="G19" s="51">
        <f>(c_1/(2*a_1))^2</f>
        <v>3.6028831142494687E-3</v>
      </c>
      <c r="H19" s="20">
        <f>F19</f>
        <v>1.550091723027066E-2</v>
      </c>
      <c r="I19" s="20">
        <f>(4*PI()*10^(-7))*a_1*200^2*((1/2+G19/12)*LN(8/G19)-0.84834+0.2041*G19)</f>
        <v>1.5740617504704089E-2</v>
      </c>
      <c r="J19" s="7">
        <f>I19/H19-1</f>
        <v>1.5463618757045827E-2</v>
      </c>
      <c r="L19" s="50"/>
      <c r="N19" s="1">
        <f>1/4*c_1^2/a_1^2</f>
        <v>3.6028831142494691E-3</v>
      </c>
    </row>
    <row r="20" spans="1:14" x14ac:dyDescent="0.15">
      <c r="A20">
        <v>500</v>
      </c>
      <c r="B20" s="4">
        <v>0.13500000000000001</v>
      </c>
      <c r="C20" s="5">
        <v>6.8</v>
      </c>
      <c r="D20" s="21">
        <f>2*PI()*A20</f>
        <v>3141.5926535897929</v>
      </c>
      <c r="E20" s="23">
        <f>SQRT((C20/B20)^2-($B$16)^2)</f>
        <v>49.8674664610935</v>
      </c>
      <c r="H20" s="3" t="s">
        <v>27</v>
      </c>
      <c r="I20" s="3" t="s">
        <v>27</v>
      </c>
    </row>
    <row r="21" spans="1:14" x14ac:dyDescent="0.15">
      <c r="A21">
        <v>1000</v>
      </c>
      <c r="B21" s="4">
        <v>8.8999999999999996E-2</v>
      </c>
      <c r="C21" s="5">
        <v>8.8000000000000007</v>
      </c>
      <c r="D21" s="21">
        <f>2*PI()*A21</f>
        <v>6283.1853071795858</v>
      </c>
      <c r="E21" s="23">
        <f>SQRT((C21/B21)^2-($B$16)^2)</f>
        <v>98.621160841559004</v>
      </c>
    </row>
    <row r="22" spans="1:14" x14ac:dyDescent="0.15">
      <c r="A22">
        <v>2000</v>
      </c>
      <c r="B22" s="4">
        <v>0.05</v>
      </c>
      <c r="C22" s="5">
        <v>9.77</v>
      </c>
      <c r="D22" s="21">
        <f>2*PI()*A22</f>
        <v>12566.370614359172</v>
      </c>
      <c r="E22" s="23">
        <f>SQRT((C22/B22)^2-($B$16)^2)</f>
        <v>195.27096558372415</v>
      </c>
    </row>
    <row r="40" spans="1:18" x14ac:dyDescent="0.15">
      <c r="A40" s="3" t="s">
        <v>28</v>
      </c>
      <c r="B40" s="3"/>
    </row>
    <row r="41" spans="1:18" x14ac:dyDescent="0.15">
      <c r="A41" s="61" t="s">
        <v>83</v>
      </c>
      <c r="B41" s="53"/>
      <c r="C41" s="53"/>
      <c r="D41" s="53"/>
      <c r="E41" s="53"/>
      <c r="F41" s="53"/>
      <c r="G41" s="53"/>
      <c r="H41" s="53"/>
      <c r="I41" s="53"/>
      <c r="J41" s="54"/>
    </row>
    <row r="42" spans="1:18" x14ac:dyDescent="0.15">
      <c r="A42" s="55"/>
      <c r="B42" s="56"/>
      <c r="C42" s="56"/>
      <c r="D42" s="56"/>
      <c r="E42" s="56"/>
      <c r="F42" s="56"/>
      <c r="G42" s="56"/>
      <c r="H42" s="56"/>
      <c r="I42" s="56"/>
      <c r="J42" s="57"/>
    </row>
    <row r="43" spans="1:18" x14ac:dyDescent="0.15">
      <c r="A43" s="55"/>
      <c r="B43" s="56"/>
      <c r="C43" s="56"/>
      <c r="D43" s="56"/>
      <c r="E43" s="56"/>
      <c r="F43" s="56"/>
      <c r="G43" s="56"/>
      <c r="H43" s="56"/>
      <c r="I43" s="56"/>
      <c r="J43" s="57"/>
    </row>
    <row r="44" spans="1:18" x14ac:dyDescent="0.15">
      <c r="A44" s="58"/>
      <c r="B44" s="59"/>
      <c r="C44" s="59"/>
      <c r="D44" s="59"/>
      <c r="E44" s="59"/>
      <c r="F44" s="59"/>
      <c r="G44" s="59"/>
      <c r="H44" s="59"/>
      <c r="I44" s="59"/>
      <c r="J44" s="60"/>
    </row>
    <row r="47" spans="1:18" ht="16" x14ac:dyDescent="0.2">
      <c r="A47" s="16" t="s">
        <v>29</v>
      </c>
    </row>
    <row r="48" spans="1:18" s="2" customFormat="1" ht="42" x14ac:dyDescent="0.15">
      <c r="A48" s="14" t="s">
        <v>18</v>
      </c>
      <c r="B48" s="14" t="s">
        <v>19</v>
      </c>
      <c r="C48" s="14" t="s">
        <v>30</v>
      </c>
      <c r="D48" s="14" t="s">
        <v>21</v>
      </c>
      <c r="E48" s="14" t="s">
        <v>31</v>
      </c>
      <c r="F48" s="14" t="s">
        <v>23</v>
      </c>
      <c r="G48" s="2" t="s">
        <v>32</v>
      </c>
      <c r="H48" s="14" t="s">
        <v>33</v>
      </c>
      <c r="I48" s="14" t="s">
        <v>34</v>
      </c>
      <c r="J48" s="14" t="s">
        <v>26</v>
      </c>
      <c r="K48" s="17"/>
      <c r="L48" s="17"/>
      <c r="M48" s="17"/>
      <c r="N48" s="17"/>
      <c r="O48" s="17"/>
      <c r="P48" s="17"/>
      <c r="Q48" s="17"/>
      <c r="R48" s="17"/>
    </row>
    <row r="49" spans="1:13" x14ac:dyDescent="0.15">
      <c r="A49">
        <v>200</v>
      </c>
      <c r="B49" s="4">
        <v>0.17</v>
      </c>
      <c r="C49" s="5">
        <v>0.34200000000000003</v>
      </c>
      <c r="D49" s="21">
        <f>2*PI()*A49</f>
        <v>1256.6370614359173</v>
      </c>
      <c r="E49" s="22">
        <f>C49/B49</f>
        <v>2.0117647058823529</v>
      </c>
      <c r="F49" s="6">
        <f>LINEST(E49:E52,D49:D52)</f>
        <v>1.4873087299853852E-3</v>
      </c>
      <c r="G49">
        <f>2*SQRT(a_1*a_2/((a_1+a_2)^2+(_ri1+_ri2)^2))</f>
        <v>0.47823233205137755</v>
      </c>
      <c r="H49" s="20">
        <f>F49</f>
        <v>1.4873087299853852E-3</v>
      </c>
      <c r="I49" s="6">
        <f>2*mu0*SQRT(a_1*a_2)/L49*((1-L49^2/2)*Ellip_F(meioPi,L49)-Ellip_E(meioPi,L49))*N_1*N_2</f>
        <v>1.5428358342947299E-3</v>
      </c>
      <c r="J49" s="7">
        <f>I49/H49-1</f>
        <v>3.7333946335331714E-2</v>
      </c>
      <c r="L49" s="1">
        <f>2*SQRT(a_1*a_2/(a_1+a_2)^2)</f>
        <v>0.65018412738118536</v>
      </c>
      <c r="M49" s="1">
        <f>PI()/2</f>
        <v>1.5707963267948966</v>
      </c>
    </row>
    <row r="50" spans="1:13" x14ac:dyDescent="0.15">
      <c r="A50">
        <v>500</v>
      </c>
      <c r="B50" s="4">
        <v>0.13500000000000001</v>
      </c>
      <c r="C50" s="5">
        <v>0.66900000000000004</v>
      </c>
      <c r="D50" s="21">
        <f>2*PI()*A50</f>
        <v>3141.5926535897929</v>
      </c>
      <c r="E50" s="22">
        <f>C50/B50</f>
        <v>4.9555555555555557</v>
      </c>
      <c r="H50" s="3" t="s">
        <v>27</v>
      </c>
      <c r="I50" s="3" t="s">
        <v>27</v>
      </c>
    </row>
    <row r="51" spans="1:13" x14ac:dyDescent="0.15">
      <c r="A51">
        <v>1000</v>
      </c>
      <c r="B51" s="4">
        <v>8.8999999999999996E-2</v>
      </c>
      <c r="C51" s="5">
        <v>0.877</v>
      </c>
      <c r="D51" s="21">
        <f>2*PI()*A51</f>
        <v>6283.1853071795858</v>
      </c>
      <c r="E51" s="22">
        <f>C51/B51</f>
        <v>9.8539325842696641</v>
      </c>
    </row>
    <row r="52" spans="1:13" x14ac:dyDescent="0.15">
      <c r="A52">
        <v>2000</v>
      </c>
      <c r="B52" s="4">
        <v>5.0999999999999997E-2</v>
      </c>
      <c r="C52" s="5">
        <v>0.96199999999999997</v>
      </c>
      <c r="D52" s="21">
        <f>2*PI()*A52</f>
        <v>12566.370614359172</v>
      </c>
      <c r="E52" s="22">
        <f>C52/B52</f>
        <v>18.862745098039216</v>
      </c>
    </row>
    <row r="70" spans="1:10" x14ac:dyDescent="0.15">
      <c r="A70" s="3" t="s">
        <v>28</v>
      </c>
      <c r="B70" s="3"/>
    </row>
    <row r="71" spans="1:10" x14ac:dyDescent="0.15">
      <c r="A71" s="52"/>
      <c r="B71" s="53"/>
      <c r="C71" s="53"/>
      <c r="D71" s="53"/>
      <c r="E71" s="53"/>
      <c r="F71" s="53"/>
      <c r="G71" s="53"/>
      <c r="H71" s="53"/>
      <c r="I71" s="53"/>
      <c r="J71" s="54"/>
    </row>
    <row r="72" spans="1:10" x14ac:dyDescent="0.15">
      <c r="A72" s="55"/>
      <c r="B72" s="56"/>
      <c r="C72" s="56"/>
      <c r="D72" s="56"/>
      <c r="E72" s="56"/>
      <c r="F72" s="56"/>
      <c r="G72" s="56"/>
      <c r="H72" s="56"/>
      <c r="I72" s="56"/>
      <c r="J72" s="57"/>
    </row>
    <row r="73" spans="1:10" x14ac:dyDescent="0.15">
      <c r="A73" s="55"/>
      <c r="B73" s="56"/>
      <c r="C73" s="56"/>
      <c r="D73" s="56"/>
      <c r="E73" s="56"/>
      <c r="F73" s="56"/>
      <c r="G73" s="56"/>
      <c r="H73" s="56"/>
      <c r="I73" s="56"/>
      <c r="J73" s="57"/>
    </row>
    <row r="74" spans="1:10" x14ac:dyDescent="0.15">
      <c r="A74" s="58"/>
      <c r="B74" s="59"/>
      <c r="C74" s="59"/>
      <c r="D74" s="59"/>
      <c r="E74" s="59"/>
      <c r="F74" s="59"/>
      <c r="G74" s="59"/>
      <c r="H74" s="59"/>
      <c r="I74" s="59"/>
      <c r="J74" s="60"/>
    </row>
    <row r="75" spans="1:10" x14ac:dyDescent="0.15">
      <c r="A75" s="3"/>
      <c r="B75" s="3"/>
    </row>
    <row r="76" spans="1:10" ht="16" x14ac:dyDescent="0.2">
      <c r="A76" s="16" t="s">
        <v>35</v>
      </c>
    </row>
    <row r="79" spans="1:10" ht="14" x14ac:dyDescent="0.15">
      <c r="B79" s="14" t="s">
        <v>36</v>
      </c>
      <c r="C79" s="14" t="s">
        <v>26</v>
      </c>
    </row>
    <row r="80" spans="1:10" x14ac:dyDescent="0.15">
      <c r="A80" s="20">
        <f>(I49)/(N_2*PI()*((a_2)^2))</f>
        <v>1.2153875016306871E-3</v>
      </c>
      <c r="B80" s="20">
        <f>(200*4*PI()*10^(-7)*(a_1)^2)/(2*(((a_1)^3)))</f>
        <v>1.2068545527277302E-3</v>
      </c>
      <c r="C80" s="7">
        <f>B80/A80-1</f>
        <v>-7.0207640703136009E-3</v>
      </c>
    </row>
    <row r="81" spans="1:10" x14ac:dyDescent="0.15">
      <c r="A81" s="3" t="s">
        <v>37</v>
      </c>
      <c r="B81" s="3" t="s">
        <v>37</v>
      </c>
    </row>
    <row r="82" spans="1:10" x14ac:dyDescent="0.15">
      <c r="A82" s="3"/>
      <c r="B82" s="3"/>
    </row>
    <row r="83" spans="1:10" x14ac:dyDescent="0.15">
      <c r="A83" s="13" t="s">
        <v>28</v>
      </c>
      <c r="B83" s="3"/>
    </row>
    <row r="84" spans="1:10" x14ac:dyDescent="0.15">
      <c r="A84" s="52"/>
      <c r="B84" s="53"/>
      <c r="C84" s="53"/>
      <c r="D84" s="53"/>
      <c r="E84" s="53"/>
      <c r="F84" s="53"/>
      <c r="G84" s="53"/>
      <c r="H84" s="53"/>
      <c r="I84" s="53"/>
      <c r="J84" s="54"/>
    </row>
    <row r="85" spans="1:10" x14ac:dyDescent="0.15">
      <c r="A85" s="55"/>
      <c r="B85" s="56"/>
      <c r="C85" s="56"/>
      <c r="D85" s="56"/>
      <c r="E85" s="56"/>
      <c r="F85" s="56"/>
      <c r="G85" s="56"/>
      <c r="H85" s="56"/>
      <c r="I85" s="56"/>
      <c r="J85" s="57"/>
    </row>
    <row r="86" spans="1:10" x14ac:dyDescent="0.15">
      <c r="A86" s="55"/>
      <c r="B86" s="56"/>
      <c r="C86" s="56"/>
      <c r="D86" s="56"/>
      <c r="E86" s="56"/>
      <c r="F86" s="56"/>
      <c r="G86" s="56"/>
      <c r="H86" s="56"/>
      <c r="I86" s="56"/>
      <c r="J86" s="57"/>
    </row>
    <row r="87" spans="1:10" x14ac:dyDescent="0.15">
      <c r="A87" s="58"/>
      <c r="B87" s="59"/>
      <c r="C87" s="59"/>
      <c r="D87" s="59"/>
      <c r="E87" s="59"/>
      <c r="F87" s="59"/>
      <c r="G87" s="59"/>
      <c r="H87" s="59"/>
      <c r="I87" s="59"/>
      <c r="J87" s="60"/>
    </row>
    <row r="88" spans="1:10" x14ac:dyDescent="0.15">
      <c r="A88" s="3"/>
      <c r="B88" s="3"/>
    </row>
    <row r="89" spans="1:10" x14ac:dyDescent="0.15">
      <c r="A89" s="3"/>
      <c r="B89" s="3"/>
    </row>
    <row r="90" spans="1:10" ht="16" x14ac:dyDescent="0.2">
      <c r="A90" s="16" t="s">
        <v>38</v>
      </c>
      <c r="B90" s="3"/>
    </row>
    <row r="91" spans="1:10" x14ac:dyDescent="0.15">
      <c r="A91" s="3"/>
      <c r="B91" s="3"/>
    </row>
    <row r="92" spans="1:10" x14ac:dyDescent="0.15">
      <c r="A92" s="13" t="s">
        <v>28</v>
      </c>
      <c r="B92" s="3"/>
    </row>
    <row r="93" spans="1:10" x14ac:dyDescent="0.15">
      <c r="A93" s="62" t="s">
        <v>84</v>
      </c>
      <c r="B93" s="63"/>
      <c r="C93" s="63"/>
      <c r="D93" s="63"/>
      <c r="E93" s="63"/>
      <c r="F93" s="63"/>
      <c r="G93" s="63"/>
      <c r="H93" s="63"/>
      <c r="I93" s="63"/>
      <c r="J93" s="64"/>
    </row>
    <row r="94" spans="1:10" x14ac:dyDescent="0.15">
      <c r="A94" s="65"/>
      <c r="B94" s="66"/>
      <c r="C94" s="66"/>
      <c r="D94" s="66"/>
      <c r="E94" s="66"/>
      <c r="F94" s="66"/>
      <c r="G94" s="66"/>
      <c r="H94" s="66"/>
      <c r="I94" s="66"/>
      <c r="J94" s="67"/>
    </row>
    <row r="95" spans="1:10" x14ac:dyDescent="0.15">
      <c r="A95" s="65"/>
      <c r="B95" s="66"/>
      <c r="C95" s="66"/>
      <c r="D95" s="66"/>
      <c r="E95" s="66"/>
      <c r="F95" s="66"/>
      <c r="G95" s="66"/>
      <c r="H95" s="66"/>
      <c r="I95" s="66"/>
      <c r="J95" s="67"/>
    </row>
    <row r="96" spans="1:10" ht="39" customHeight="1" x14ac:dyDescent="0.15">
      <c r="A96" s="68"/>
      <c r="B96" s="69"/>
      <c r="C96" s="69"/>
      <c r="D96" s="69"/>
      <c r="E96" s="69"/>
      <c r="F96" s="69"/>
      <c r="G96" s="69"/>
      <c r="H96" s="69"/>
      <c r="I96" s="69"/>
      <c r="J96" s="70"/>
    </row>
    <row r="98" spans="1:19" ht="16" x14ac:dyDescent="0.2">
      <c r="A98" s="16" t="s">
        <v>39</v>
      </c>
    </row>
    <row r="100" spans="1:19" x14ac:dyDescent="0.15">
      <c r="A100" s="15" t="s">
        <v>40</v>
      </c>
      <c r="B100" s="8">
        <v>1990</v>
      </c>
      <c r="C100" t="s">
        <v>41</v>
      </c>
    </row>
    <row r="101" spans="1:19" x14ac:dyDescent="0.15">
      <c r="A101" s="15" t="s">
        <v>42</v>
      </c>
      <c r="B101" s="8">
        <v>5.0999999999999997E-2</v>
      </c>
      <c r="C101" t="s">
        <v>43</v>
      </c>
    </row>
    <row r="103" spans="1:19" ht="28" x14ac:dyDescent="0.15">
      <c r="A103" s="13" t="s">
        <v>44</v>
      </c>
      <c r="B103" s="13" t="s">
        <v>45</v>
      </c>
      <c r="C103" s="13" t="s">
        <v>30</v>
      </c>
      <c r="D103" s="14" t="s">
        <v>46</v>
      </c>
      <c r="K103" s="1" t="s">
        <v>47</v>
      </c>
      <c r="L103" s="1" t="s">
        <v>48</v>
      </c>
      <c r="M103" s="1" t="s">
        <v>49</v>
      </c>
      <c r="O103" s="1" t="s">
        <v>50</v>
      </c>
      <c r="P103" s="1" t="s">
        <v>48</v>
      </c>
      <c r="Q103" s="1" t="s">
        <v>51</v>
      </c>
      <c r="R103" s="1" t="s">
        <v>32</v>
      </c>
    </row>
    <row r="104" spans="1:19" x14ac:dyDescent="0.15">
      <c r="A104">
        <v>0</v>
      </c>
      <c r="B104">
        <v>0</v>
      </c>
      <c r="C104" s="24">
        <v>0.96399999999999997</v>
      </c>
      <c r="D104" s="4">
        <f>C104/$C$104</f>
        <v>1</v>
      </c>
      <c r="K104" s="1">
        <v>0</v>
      </c>
      <c r="L104" s="9">
        <f t="shared" ref="L104:L114" si="0">M104/$M$104</f>
        <v>1</v>
      </c>
      <c r="M104" s="9">
        <f t="shared" ref="M104:M134" si="1">mu0/2*a_1^2/(a_1^2+K104^2)^1.5*N_1</f>
        <v>1.2068545527277304E-3</v>
      </c>
      <c r="O104" s="1">
        <v>1.0000000000000001E-5</v>
      </c>
      <c r="P104" s="10">
        <f t="shared" ref="P104:P124" si="2">Q104/$Q$104</f>
        <v>1</v>
      </c>
      <c r="Q104" s="9">
        <f t="shared" ref="Q104:Q124" si="3">mu0/2/PI()/(a_1^2-O104^2)*((a_1-O104)*Ellip_F(meioPi,R104)+(a_1+O104)*Ellip_E(meioPi,R104))</f>
        <v>6.0342728053809415E-6</v>
      </c>
      <c r="R104" s="1">
        <f t="shared" ref="R104:R124" si="4">2*SQRT(a_1*O104)/(a_1+O104)</f>
        <v>1.95979580288662E-2</v>
      </c>
    </row>
    <row r="105" spans="1:19" x14ac:dyDescent="0.15">
      <c r="A105">
        <v>0</v>
      </c>
      <c r="B105">
        <v>0.02</v>
      </c>
      <c r="C105" s="25">
        <v>0.99299999999999999</v>
      </c>
      <c r="D105" s="4">
        <f>C105/$C$104</f>
        <v>1.0300829875518673</v>
      </c>
      <c r="K105" s="1">
        <v>0.01</v>
      </c>
      <c r="L105" s="9">
        <f t="shared" si="0"/>
        <v>0.98632273773401746</v>
      </c>
      <c r="M105" s="9">
        <f t="shared" si="1"/>
        <v>1.1903480864931782E-3</v>
      </c>
      <c r="O105" s="1">
        <v>5.0000000000000001E-3</v>
      </c>
      <c r="P105" s="10">
        <f t="shared" si="2"/>
        <v>1.0017331238260607</v>
      </c>
      <c r="Q105" s="9">
        <f t="shared" si="3"/>
        <v>6.0447309473528973E-6</v>
      </c>
      <c r="R105" s="1">
        <f t="shared" si="4"/>
        <v>0.41818484143048651</v>
      </c>
    </row>
    <row r="106" spans="1:19" x14ac:dyDescent="0.15">
      <c r="A106">
        <v>0</v>
      </c>
      <c r="B106">
        <v>0.04</v>
      </c>
      <c r="C106" s="25">
        <v>1.093</v>
      </c>
      <c r="D106" s="4">
        <f>C106/$C$104</f>
        <v>1.1338174273858921</v>
      </c>
      <c r="K106" s="1">
        <v>0.02</v>
      </c>
      <c r="L106" s="9">
        <f t="shared" si="0"/>
        <v>0.94710636977290297</v>
      </c>
      <c r="M106" s="9">
        <f t="shared" si="1"/>
        <v>1.1430196342778612E-3</v>
      </c>
      <c r="O106" s="1">
        <v>0.01</v>
      </c>
      <c r="P106" s="10">
        <f t="shared" si="2"/>
        <v>1.0069778852764011</v>
      </c>
      <c r="Q106" s="9">
        <f t="shared" si="3"/>
        <v>6.0763792687433965E-6</v>
      </c>
      <c r="R106" s="1">
        <f t="shared" si="4"/>
        <v>0.56549236641895217</v>
      </c>
    </row>
    <row r="107" spans="1:19" x14ac:dyDescent="0.15">
      <c r="A107">
        <v>0</v>
      </c>
      <c r="B107">
        <v>0.06</v>
      </c>
      <c r="C107" s="25">
        <v>1.3320000000000001</v>
      </c>
      <c r="D107" s="4">
        <f>C107/$C$104</f>
        <v>1.3817427385892118</v>
      </c>
      <c r="K107" s="1">
        <v>0.03</v>
      </c>
      <c r="L107" s="9">
        <f t="shared" si="0"/>
        <v>0.8872602866006305</v>
      </c>
      <c r="M107" s="9">
        <f t="shared" si="1"/>
        <v>1.0707941163384817E-3</v>
      </c>
      <c r="O107" s="1">
        <v>1.4999999999999999E-2</v>
      </c>
      <c r="P107" s="10">
        <f t="shared" si="2"/>
        <v>1.0158735004268376</v>
      </c>
      <c r="Q107" s="9">
        <f t="shared" si="3"/>
        <v>6.1300578373328105E-6</v>
      </c>
      <c r="R107" s="1">
        <f t="shared" si="4"/>
        <v>0.66351424318112417</v>
      </c>
      <c r="S107" s="5"/>
    </row>
    <row r="108" spans="1:19" x14ac:dyDescent="0.15">
      <c r="A108" s="11">
        <v>0</v>
      </c>
      <c r="B108" s="11">
        <v>0.08</v>
      </c>
      <c r="C108" s="26">
        <v>1.9410000000000001</v>
      </c>
      <c r="D108" s="12">
        <f>C108/$C$104</f>
        <v>2.0134854771784232</v>
      </c>
      <c r="K108" s="1">
        <v>0.04</v>
      </c>
      <c r="L108" s="9">
        <f t="shared" si="0"/>
        <v>0.81344631749340157</v>
      </c>
      <c r="M108" s="9">
        <f t="shared" si="1"/>
        <v>9.8171139166651857E-4</v>
      </c>
      <c r="O108" s="1">
        <v>0.02</v>
      </c>
      <c r="P108" s="10">
        <f t="shared" si="2"/>
        <v>1.0286628031278837</v>
      </c>
      <c r="Q108" s="9">
        <f t="shared" si="3"/>
        <v>6.207231978821518E-6</v>
      </c>
      <c r="R108" s="1">
        <f t="shared" si="4"/>
        <v>0.73529780156226276</v>
      </c>
      <c r="S108" s="5"/>
    </row>
    <row r="109" spans="1:19" x14ac:dyDescent="0.15">
      <c r="A109">
        <v>0</v>
      </c>
      <c r="B109">
        <v>0</v>
      </c>
      <c r="C109" s="25">
        <v>0.96099999999999997</v>
      </c>
      <c r="D109" s="4">
        <f>C109/$C$109</f>
        <v>1</v>
      </c>
      <c r="K109" s="1">
        <v>0.05</v>
      </c>
      <c r="L109" s="9">
        <f t="shared" si="0"/>
        <v>0.73254250447704639</v>
      </c>
      <c r="M109" s="9">
        <f t="shared" si="1"/>
        <v>8.8407225659469727E-4</v>
      </c>
      <c r="O109" s="1">
        <v>2.5000000000000001E-2</v>
      </c>
      <c r="P109" s="10">
        <f t="shared" si="2"/>
        <v>1.0457099597624584</v>
      </c>
      <c r="Q109" s="9">
        <f t="shared" si="3"/>
        <v>6.3100991725106015E-6</v>
      </c>
      <c r="R109" s="1">
        <f t="shared" si="4"/>
        <v>0.79025490161059109</v>
      </c>
      <c r="S109" s="5"/>
    </row>
    <row r="110" spans="1:19" x14ac:dyDescent="0.15">
      <c r="A110">
        <v>0.1</v>
      </c>
      <c r="B110">
        <v>0</v>
      </c>
      <c r="C110" s="25">
        <v>0.33900000000000002</v>
      </c>
      <c r="D110" s="4">
        <f>C110/$C$109</f>
        <v>0.35275754422476591</v>
      </c>
      <c r="K110" s="1">
        <v>0.06</v>
      </c>
      <c r="L110" s="9">
        <f t="shared" si="0"/>
        <v>0.65046399929097787</v>
      </c>
      <c r="M110" s="9">
        <f t="shared" si="1"/>
        <v>7.8501543892980387E-4</v>
      </c>
      <c r="O110" s="1">
        <v>0.03</v>
      </c>
      <c r="P110" s="10">
        <f t="shared" si="2"/>
        <v>1.0675286884657715</v>
      </c>
      <c r="Q110" s="9">
        <f t="shared" si="3"/>
        <v>6.4417593337729884E-6</v>
      </c>
      <c r="R110" s="1">
        <f t="shared" si="4"/>
        <v>0.83340944564431907</v>
      </c>
      <c r="S110" s="5"/>
    </row>
    <row r="111" spans="1:19" x14ac:dyDescent="0.15">
      <c r="A111">
        <v>0.2</v>
      </c>
      <c r="B111">
        <v>0</v>
      </c>
      <c r="C111" s="25">
        <v>9.0999999999999998E-2</v>
      </c>
      <c r="D111" s="4">
        <f>C111/$C$109</f>
        <v>9.4693028095733614E-2</v>
      </c>
      <c r="K111" s="1">
        <v>7.0000000000000007E-2</v>
      </c>
      <c r="L111" s="9">
        <f t="shared" si="0"/>
        <v>0.57157662086993244</v>
      </c>
      <c r="M111" s="9">
        <f t="shared" si="1"/>
        <v>6.8980984712960984E-4</v>
      </c>
      <c r="O111" s="1">
        <v>3.5000000000000003E-2</v>
      </c>
      <c r="P111" s="10">
        <f t="shared" si="2"/>
        <v>1.0948253285242022</v>
      </c>
      <c r="Q111" s="9">
        <f t="shared" si="3"/>
        <v>6.606474706555849E-6</v>
      </c>
      <c r="R111" s="1">
        <f t="shared" si="4"/>
        <v>0.86783341556975802</v>
      </c>
      <c r="S111" s="5"/>
    </row>
    <row r="112" spans="1:19" x14ac:dyDescent="0.15">
      <c r="A112">
        <v>0.3</v>
      </c>
      <c r="B112">
        <v>0</v>
      </c>
      <c r="C112" s="25">
        <v>3.4000000000000002E-2</v>
      </c>
      <c r="D112" s="4">
        <f>C112/$C$109</f>
        <v>3.5379812695109265E-2</v>
      </c>
      <c r="K112" s="1">
        <v>0.08</v>
      </c>
      <c r="L112" s="9">
        <f t="shared" si="0"/>
        <v>0.49863516041194722</v>
      </c>
      <c r="M112" s="9">
        <f t="shared" si="1"/>
        <v>6.0178011349328064E-4</v>
      </c>
      <c r="O112" s="1">
        <v>0.04</v>
      </c>
      <c r="P112" s="10">
        <f t="shared" si="2"/>
        <v>1.128564079185493</v>
      </c>
      <c r="Q112" s="9">
        <f t="shared" si="3"/>
        <v>6.8100635321588031E-6</v>
      </c>
      <c r="R112" s="1">
        <f t="shared" si="4"/>
        <v>0.89556723623567358</v>
      </c>
      <c r="S112" s="5"/>
    </row>
    <row r="113" spans="1:19" x14ac:dyDescent="0.15">
      <c r="A113">
        <v>0.4</v>
      </c>
      <c r="B113">
        <v>0</v>
      </c>
      <c r="C113" s="26">
        <v>1.7000000000000001E-2</v>
      </c>
      <c r="D113" s="4">
        <f>C113/$C$109</f>
        <v>1.7689906347554633E-2</v>
      </c>
      <c r="K113" s="1">
        <v>0.09</v>
      </c>
      <c r="L113" s="9">
        <f t="shared" si="0"/>
        <v>0.43303764310497628</v>
      </c>
      <c r="M113" s="9">
        <f t="shared" si="1"/>
        <v>5.2261345108372669E-4</v>
      </c>
      <c r="O113" s="1">
        <v>4.4999999999999998E-2</v>
      </c>
      <c r="P113" s="10">
        <f t="shared" si="2"/>
        <v>1.1700668498997273</v>
      </c>
      <c r="Q113" s="9">
        <f t="shared" si="3"/>
        <v>7.0605025728276681E-6</v>
      </c>
      <c r="R113" s="1">
        <f t="shared" si="4"/>
        <v>0.91804362599783751</v>
      </c>
      <c r="S113" s="5"/>
    </row>
    <row r="114" spans="1:19" x14ac:dyDescent="0.15">
      <c r="K114" s="1">
        <v>0.1</v>
      </c>
      <c r="L114" s="9">
        <f t="shared" si="0"/>
        <v>0.37519353581826725</v>
      </c>
      <c r="M114" s="9">
        <f t="shared" si="1"/>
        <v>4.5280402685629064E-4</v>
      </c>
      <c r="O114" s="1">
        <v>0.05</v>
      </c>
      <c r="P114" s="10">
        <f t="shared" si="2"/>
        <v>1.2211694562777629</v>
      </c>
      <c r="Q114" s="9">
        <f t="shared" si="3"/>
        <v>7.3688696407787348E-6</v>
      </c>
      <c r="R114" s="1">
        <f t="shared" si="4"/>
        <v>0.93630950052284556</v>
      </c>
      <c r="S114" s="5"/>
    </row>
    <row r="115" spans="1:19" x14ac:dyDescent="0.15">
      <c r="K115" s="1">
        <v>0.12</v>
      </c>
      <c r="L115" s="9">
        <f t="shared" ref="L115:L134" si="5">M115/$M$104</f>
        <v>0.28150029447629388</v>
      </c>
      <c r="M115" s="9">
        <f t="shared" si="1"/>
        <v>3.3972991198291203E-4</v>
      </c>
      <c r="O115" s="1">
        <v>5.5E-2</v>
      </c>
      <c r="P115" s="10">
        <f t="shared" si="2"/>
        <v>1.2844736040276787</v>
      </c>
      <c r="Q115" s="9">
        <f t="shared" si="3"/>
        <v>7.7508641380138701E-6</v>
      </c>
      <c r="R115" s="1">
        <f t="shared" si="4"/>
        <v>0.95115313536287638</v>
      </c>
      <c r="S115" s="5"/>
    </row>
    <row r="116" spans="1:19" x14ac:dyDescent="0.15">
      <c r="K116" s="1">
        <v>0.14000000000000001</v>
      </c>
      <c r="L116" s="9">
        <f t="shared" si="5"/>
        <v>0.21254690000817575</v>
      </c>
      <c r="M116" s="9">
        <f t="shared" si="1"/>
        <v>2.5651319394303257E-4</v>
      </c>
      <c r="O116" s="1">
        <v>0.06</v>
      </c>
      <c r="P116" s="10">
        <f t="shared" si="2"/>
        <v>1.3637697362896899</v>
      </c>
      <c r="Q116" s="9">
        <f t="shared" si="3"/>
        <v>8.2293586324944142E-6</v>
      </c>
      <c r="R116" s="1">
        <f t="shared" si="4"/>
        <v>0.96318209385720976</v>
      </c>
      <c r="S116" s="5"/>
    </row>
    <row r="117" spans="1:19" x14ac:dyDescent="0.15">
      <c r="K117" s="1">
        <v>0.16</v>
      </c>
      <c r="L117" s="9">
        <f t="shared" si="5"/>
        <v>0.16227861119434575</v>
      </c>
      <c r="M117" s="9">
        <f t="shared" si="1"/>
        <v>1.9584668073022941E-4</v>
      </c>
      <c r="O117" s="1">
        <v>6.5000000000000002E-2</v>
      </c>
      <c r="P117" s="10">
        <f t="shared" si="2"/>
        <v>1.4647821979070268</v>
      </c>
      <c r="Q117" s="9">
        <f t="shared" si="3"/>
        <v>8.8388953826364959E-6</v>
      </c>
      <c r="R117" s="1">
        <f t="shared" si="4"/>
        <v>0.97287351656186138</v>
      </c>
      <c r="S117" s="5"/>
    </row>
    <row r="118" spans="1:19" x14ac:dyDescent="0.15">
      <c r="K118" s="1">
        <v>0.18</v>
      </c>
      <c r="L118" s="9">
        <f t="shared" si="5"/>
        <v>0.12554689072432157</v>
      </c>
      <c r="M118" s="9">
        <f t="shared" si="1"/>
        <v>1.5151683665145835E-4</v>
      </c>
      <c r="O118" s="1">
        <v>7.0000000000000007E-2</v>
      </c>
      <c r="P118" s="10">
        <f t="shared" si="2"/>
        <v>1.5965647504461593</v>
      </c>
      <c r="Q118" s="9">
        <f t="shared" si="3"/>
        <v>9.6341072556470683E-6</v>
      </c>
      <c r="R118" s="1">
        <f t="shared" si="4"/>
        <v>0.98060793145042136</v>
      </c>
      <c r="S118" s="5"/>
    </row>
    <row r="119" spans="1:19" x14ac:dyDescent="0.15">
      <c r="K119" s="1">
        <v>0.2</v>
      </c>
      <c r="L119" s="9">
        <f t="shared" si="5"/>
        <v>9.8476069580734849E-2</v>
      </c>
      <c r="M119" s="9">
        <f t="shared" si="1"/>
        <v>1.188462929082426E-4</v>
      </c>
      <c r="O119" s="1">
        <v>7.4999999999999997E-2</v>
      </c>
      <c r="P119" s="10">
        <f t="shared" si="2"/>
        <v>1.7743225827491689</v>
      </c>
      <c r="Q119" s="9">
        <f t="shared" si="3"/>
        <v>1.0706746509056586E-5</v>
      </c>
      <c r="R119" s="1">
        <f t="shared" si="4"/>
        <v>0.98669275189816474</v>
      </c>
      <c r="S119" s="5"/>
    </row>
    <row r="120" spans="1:19" x14ac:dyDescent="0.15">
      <c r="K120" s="1">
        <v>0.22</v>
      </c>
      <c r="L120" s="9">
        <f t="shared" si="5"/>
        <v>7.829248884107326E-2</v>
      </c>
      <c r="M120" s="9">
        <f t="shared" si="1"/>
        <v>9.4487646602234299E-5</v>
      </c>
      <c r="O120" s="1">
        <v>0.08</v>
      </c>
      <c r="P120" s="10">
        <f t="shared" si="2"/>
        <v>2.0257171573172057</v>
      </c>
      <c r="Q120" s="9">
        <f t="shared" si="3"/>
        <v>1.2223729953792801E-5</v>
      </c>
      <c r="R120" s="1">
        <f t="shared" si="4"/>
        <v>0.99137906120694408</v>
      </c>
      <c r="S120" s="5"/>
    </row>
    <row r="121" spans="1:19" x14ac:dyDescent="0.15">
      <c r="K121" s="1">
        <v>0.24</v>
      </c>
      <c r="L121" s="9">
        <f t="shared" si="5"/>
        <v>6.3049354674720184E-2</v>
      </c>
      <c r="M121" s="9">
        <f t="shared" si="1"/>
        <v>7.6091400735731464E-5</v>
      </c>
      <c r="O121" s="1">
        <v>8.5000000000000006E-2</v>
      </c>
      <c r="P121" s="10">
        <f t="shared" si="2"/>
        <v>2.4069896184406341</v>
      </c>
      <c r="Q121" s="9">
        <f t="shared" si="3"/>
        <v>1.4524431997390568E-5</v>
      </c>
      <c r="R121" s="1">
        <f t="shared" si="4"/>
        <v>0.99487388028557699</v>
      </c>
      <c r="S121" s="5"/>
    </row>
    <row r="122" spans="1:19" x14ac:dyDescent="0.15">
      <c r="K122" s="1">
        <v>0.26</v>
      </c>
      <c r="L122" s="9">
        <f t="shared" si="5"/>
        <v>5.1385632952378531E-2</v>
      </c>
      <c r="M122" s="9">
        <f t="shared" si="1"/>
        <v>6.2014985073374115E-5</v>
      </c>
      <c r="O122" s="1">
        <v>0.09</v>
      </c>
      <c r="P122" s="10">
        <f t="shared" si="2"/>
        <v>3.0530940147876353</v>
      </c>
      <c r="Q122" s="9">
        <f t="shared" si="3"/>
        <v>1.8423202185704346E-5</v>
      </c>
      <c r="R122" s="1">
        <f t="shared" si="4"/>
        <v>0.99734931079116573</v>
      </c>
      <c r="S122" s="5"/>
    </row>
    <row r="123" spans="1:19" x14ac:dyDescent="0.15">
      <c r="K123" s="1">
        <v>0.28000000000000003</v>
      </c>
      <c r="L123" s="9">
        <f t="shared" si="5"/>
        <v>4.234584145002171E-2</v>
      </c>
      <c r="M123" s="9">
        <f t="shared" si="1"/>
        <v>5.1105271543045332E-5</v>
      </c>
      <c r="O123" s="1">
        <v>9.5000000000000001E-2</v>
      </c>
      <c r="P123" s="10">
        <f t="shared" si="2"/>
        <v>4.3915721799127327</v>
      </c>
      <c r="Q123" s="9">
        <f t="shared" si="3"/>
        <v>2.6499944578114902E-5</v>
      </c>
      <c r="R123" s="1">
        <f t="shared" si="4"/>
        <v>0.99894946497722459</v>
      </c>
      <c r="S123" s="5"/>
    </row>
    <row r="124" spans="1:19" x14ac:dyDescent="0.15">
      <c r="K124" s="1">
        <v>0.3</v>
      </c>
      <c r="L124" s="9">
        <f t="shared" si="5"/>
        <v>3.5253524550929213E-2</v>
      </c>
      <c r="M124" s="9">
        <f t="shared" si="1"/>
        <v>4.2545876603987736E-5</v>
      </c>
      <c r="O124" s="1">
        <v>0.1</v>
      </c>
      <c r="P124" s="10">
        <f t="shared" si="2"/>
        <v>8.9014910333863764</v>
      </c>
      <c r="Q124" s="9">
        <f t="shared" si="3"/>
        <v>5.3714025270105704E-5</v>
      </c>
      <c r="R124" s="1">
        <f t="shared" si="4"/>
        <v>0.99979579530201934</v>
      </c>
      <c r="S124" s="5"/>
    </row>
    <row r="125" spans="1:19" x14ac:dyDescent="0.15">
      <c r="K125" s="1">
        <v>0.32</v>
      </c>
      <c r="L125" s="9">
        <f t="shared" si="5"/>
        <v>2.9624663801744375E-2</v>
      </c>
      <c r="M125" s="9">
        <f t="shared" si="1"/>
        <v>3.5752660382163591E-5</v>
      </c>
    </row>
    <row r="126" spans="1:19" x14ac:dyDescent="0.15">
      <c r="K126" s="1">
        <v>0.34</v>
      </c>
      <c r="L126" s="9">
        <f t="shared" si="5"/>
        <v>2.5108900673960165E-2</v>
      </c>
      <c r="M126" s="9">
        <f t="shared" si="1"/>
        <v>3.0302791092357202E-5</v>
      </c>
    </row>
    <row r="127" spans="1:19" x14ac:dyDescent="0.15">
      <c r="K127" s="1">
        <v>0.36</v>
      </c>
      <c r="L127" s="9">
        <f t="shared" si="5"/>
        <v>2.1449601661018312E-2</v>
      </c>
      <c r="M127" s="9">
        <f t="shared" si="1"/>
        <v>2.5886549418796238E-5</v>
      </c>
    </row>
    <row r="128" spans="1:19" x14ac:dyDescent="0.15">
      <c r="K128" s="1">
        <v>0.38</v>
      </c>
      <c r="L128" s="9">
        <f t="shared" si="5"/>
        <v>1.845656603766696E-2</v>
      </c>
      <c r="M128" s="9">
        <f t="shared" si="1"/>
        <v>2.227439075027838E-5</v>
      </c>
    </row>
    <row r="129" spans="1:13" x14ac:dyDescent="0.15">
      <c r="K129" s="1">
        <v>0.4</v>
      </c>
      <c r="L129" s="9">
        <f t="shared" si="5"/>
        <v>1.5987213643637765E-2</v>
      </c>
      <c r="M129" s="9">
        <f t="shared" si="1"/>
        <v>1.9294241571255121E-5</v>
      </c>
    </row>
    <row r="130" spans="1:13" x14ac:dyDescent="0.15">
      <c r="K130" s="1">
        <v>0.42</v>
      </c>
      <c r="L130" s="9">
        <f t="shared" si="5"/>
        <v>1.3933487935585999E-2</v>
      </c>
      <c r="M130" s="9">
        <f t="shared" si="1"/>
        <v>1.6815693350438869E-5</v>
      </c>
    </row>
    <row r="131" spans="1:13" x14ac:dyDescent="0.15">
      <c r="K131" s="1">
        <v>0.44</v>
      </c>
      <c r="L131" s="9">
        <f t="shared" si="5"/>
        <v>1.2212640551761883E-2</v>
      </c>
      <c r="M131" s="9">
        <f t="shared" si="1"/>
        <v>1.4738880850721129E-5</v>
      </c>
    </row>
    <row r="132" spans="1:13" x14ac:dyDescent="0.15">
      <c r="K132" s="1">
        <v>0.46</v>
      </c>
      <c r="L132" s="9">
        <f t="shared" si="5"/>
        <v>1.0760676427400468E-2</v>
      </c>
      <c r="M132" s="9">
        <f t="shared" si="1"/>
        <v>1.2986571336838223E-5</v>
      </c>
    </row>
    <row r="133" spans="1:13" x14ac:dyDescent="0.15">
      <c r="K133" s="1">
        <v>0.48</v>
      </c>
      <c r="L133" s="9">
        <f t="shared" si="5"/>
        <v>9.5276409284143562E-3</v>
      </c>
      <c r="M133" s="9">
        <f t="shared" si="1"/>
        <v>1.1498476831211925E-5</v>
      </c>
    </row>
    <row r="134" spans="1:13" x14ac:dyDescent="0.15">
      <c r="K134" s="1">
        <v>0.5</v>
      </c>
      <c r="L134" s="9">
        <f t="shared" si="5"/>
        <v>8.4741955574382313E-3</v>
      </c>
      <c r="M134" s="9">
        <f t="shared" si="1"/>
        <v>1.0227121489199437E-5</v>
      </c>
    </row>
    <row r="138" spans="1:13" x14ac:dyDescent="0.15">
      <c r="A138" s="13" t="s">
        <v>28</v>
      </c>
      <c r="B138" s="3"/>
    </row>
    <row r="139" spans="1:13" x14ac:dyDescent="0.15">
      <c r="A139" s="62" t="s">
        <v>85</v>
      </c>
      <c r="B139" s="63"/>
      <c r="C139" s="63"/>
      <c r="D139" s="63"/>
      <c r="E139" s="63"/>
      <c r="F139" s="63"/>
      <c r="G139" s="63"/>
      <c r="H139" s="63"/>
      <c r="I139" s="63"/>
      <c r="J139" s="64"/>
    </row>
    <row r="140" spans="1:13" x14ac:dyDescent="0.15">
      <c r="A140" s="65"/>
      <c r="B140" s="66"/>
      <c r="C140" s="66"/>
      <c r="D140" s="66"/>
      <c r="E140" s="66"/>
      <c r="F140" s="66"/>
      <c r="G140" s="66"/>
      <c r="H140" s="66"/>
      <c r="I140" s="66"/>
      <c r="J140" s="67"/>
    </row>
    <row r="141" spans="1:13" x14ac:dyDescent="0.15">
      <c r="A141" s="65"/>
      <c r="B141" s="66"/>
      <c r="C141" s="66"/>
      <c r="D141" s="66"/>
      <c r="E141" s="66"/>
      <c r="F141" s="66"/>
      <c r="G141" s="66"/>
      <c r="H141" s="66"/>
      <c r="I141" s="66"/>
      <c r="J141" s="67"/>
    </row>
    <row r="142" spans="1:13" ht="41" customHeight="1" x14ac:dyDescent="0.15">
      <c r="A142" s="68"/>
      <c r="B142" s="69"/>
      <c r="C142" s="69"/>
      <c r="D142" s="69"/>
      <c r="E142" s="69"/>
      <c r="F142" s="69"/>
      <c r="G142" s="69"/>
      <c r="H142" s="69"/>
      <c r="I142" s="69"/>
      <c r="J142" s="70"/>
    </row>
  </sheetData>
  <mergeCells count="5">
    <mergeCell ref="A139:J142"/>
    <mergeCell ref="A71:J74"/>
    <mergeCell ref="A41:J44"/>
    <mergeCell ref="A84:J87"/>
    <mergeCell ref="A93:J96"/>
  </mergeCells>
  <phoneticPr fontId="0" type="noConversion"/>
  <pageMargins left="0.59" right="0.56999999999999995" top="0.54" bottom="1" header="0" footer="0"/>
  <pageSetup paperSize="9" fitToHeight="4" orientation="portrait" horizontalDpi="4294967293" r:id="rId1"/>
  <headerFooter alignWithMargins="0"/>
  <rowBreaks count="2" manualBreakCount="2">
    <brk id="46" max="16383" man="1"/>
    <brk id="97" max="16383" man="1"/>
  </rowBreaks>
  <drawing r:id="rId2"/>
  <legacyDrawing r:id="rId3"/>
  <oleObjects>
    <mc:AlternateContent xmlns:mc="http://schemas.openxmlformats.org/markup-compatibility/2006">
      <mc:Choice Requires="x14">
        <oleObject progId="Equation.DSMT4" shapeId="1028" r:id="rId4">
          <objectPr defaultSize="0" autoPict="0" r:id="rId5">
            <anchor moveWithCells="1" sizeWithCells="1">
              <from>
                <xdr:col>0</xdr:col>
                <xdr:colOff>38100</xdr:colOff>
                <xdr:row>76</xdr:row>
                <xdr:rowOff>76200</xdr:rowOff>
              </from>
              <to>
                <xdr:col>1</xdr:col>
                <xdr:colOff>76200</xdr:colOff>
                <xdr:row>79</xdr:row>
                <xdr:rowOff>38100</xdr:rowOff>
              </to>
            </anchor>
          </objectPr>
        </oleObject>
      </mc:Choice>
      <mc:Fallback>
        <oleObject progId="Equation.DSMT4" shapeId="1028" r:id="rId4"/>
      </mc:Fallback>
    </mc:AlternateContent>
    <mc:AlternateContent xmlns:mc="http://schemas.openxmlformats.org/markup-compatibility/2006">
      <mc:Choice Requires="x14">
        <oleObject progId="Excel.Sheet.8" shapeId="1034" r:id="rId6">
          <objectPr locked="0" defaultSize="0" autoPict="0" r:id="rId7">
            <anchor moveWithCells="1" sizeWithCells="1">
              <from>
                <xdr:col>0</xdr:col>
                <xdr:colOff>0</xdr:colOff>
                <xdr:row>0</xdr:row>
                <xdr:rowOff>0</xdr:rowOff>
              </from>
              <to>
                <xdr:col>9</xdr:col>
                <xdr:colOff>596900</xdr:colOff>
                <xdr:row>0</xdr:row>
                <xdr:rowOff>1790700</xdr:rowOff>
              </to>
            </anchor>
          </objectPr>
        </oleObject>
      </mc:Choice>
      <mc:Fallback>
        <oleObject progId="Excel.Sheet.8" shapeId="1034"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35"/>
  <sheetViews>
    <sheetView workbookViewId="0">
      <selection activeCell="E27" sqref="E27"/>
    </sheetView>
  </sheetViews>
  <sheetFormatPr baseColWidth="10" defaultColWidth="8.83203125" defaultRowHeight="13" x14ac:dyDescent="0.15"/>
  <sheetData>
    <row r="1" spans="1:9" x14ac:dyDescent="0.15">
      <c r="A1" s="27" t="s">
        <v>52</v>
      </c>
      <c r="B1" s="28" t="s">
        <v>53</v>
      </c>
      <c r="C1" s="29"/>
      <c r="D1" s="29"/>
      <c r="E1" s="29"/>
      <c r="F1" s="29"/>
      <c r="G1" s="30" t="s">
        <v>54</v>
      </c>
      <c r="H1" s="31">
        <v>37476</v>
      </c>
      <c r="I1" s="32" t="s">
        <v>55</v>
      </c>
    </row>
    <row r="2" spans="1:9" x14ac:dyDescent="0.15">
      <c r="A2" s="33" t="s">
        <v>56</v>
      </c>
      <c r="B2" s="34" t="s">
        <v>57</v>
      </c>
      <c r="C2" s="35"/>
      <c r="D2" s="35"/>
      <c r="E2" s="35"/>
      <c r="F2" s="35"/>
      <c r="G2" s="33" t="s">
        <v>58</v>
      </c>
      <c r="H2" s="36" t="s">
        <v>59</v>
      </c>
      <c r="I2" s="37" t="s">
        <v>60</v>
      </c>
    </row>
    <row r="4" spans="1:9" s="38" customFormat="1" ht="18" x14ac:dyDescent="0.2">
      <c r="A4" s="38" t="s">
        <v>61</v>
      </c>
    </row>
    <row r="6" spans="1:9" x14ac:dyDescent="0.15">
      <c r="A6" s="39" t="s">
        <v>62</v>
      </c>
      <c r="B6" s="40"/>
      <c r="C6" s="40"/>
      <c r="D6" s="40"/>
      <c r="E6" s="40"/>
      <c r="F6" s="40"/>
      <c r="G6" s="40"/>
    </row>
    <row r="8" spans="1:9" x14ac:dyDescent="0.15">
      <c r="A8" s="2" t="s">
        <v>63</v>
      </c>
    </row>
    <row r="10" spans="1:9" x14ac:dyDescent="0.15">
      <c r="A10" s="2" t="s">
        <v>64</v>
      </c>
    </row>
    <row r="11" spans="1:9" x14ac:dyDescent="0.15">
      <c r="A11" s="41" t="s">
        <v>65</v>
      </c>
    </row>
    <row r="12" spans="1:9" x14ac:dyDescent="0.15">
      <c r="A12" s="41" t="s">
        <v>66</v>
      </c>
    </row>
    <row r="13" spans="1:9" x14ac:dyDescent="0.15">
      <c r="A13" s="41" t="s">
        <v>67</v>
      </c>
    </row>
    <row r="14" spans="1:9" x14ac:dyDescent="0.15">
      <c r="A14" s="41" t="s">
        <v>68</v>
      </c>
    </row>
    <row r="16" spans="1:9" x14ac:dyDescent="0.15">
      <c r="A16" s="2" t="s">
        <v>69</v>
      </c>
    </row>
    <row r="17" spans="1:7" x14ac:dyDescent="0.15">
      <c r="A17" s="2"/>
    </row>
    <row r="18" spans="1:7" x14ac:dyDescent="0.15">
      <c r="A18" s="2" t="s">
        <v>70</v>
      </c>
    </row>
    <row r="20" spans="1:7" x14ac:dyDescent="0.15">
      <c r="A20" s="39" t="s">
        <v>71</v>
      </c>
      <c r="B20" s="40"/>
      <c r="C20" s="40"/>
      <c r="D20" s="40"/>
      <c r="E20" s="40"/>
      <c r="F20" s="40"/>
      <c r="G20" s="40"/>
    </row>
    <row r="22" spans="1:7" x14ac:dyDescent="0.15">
      <c r="A22" t="s">
        <v>72</v>
      </c>
    </row>
    <row r="23" spans="1:7" x14ac:dyDescent="0.15">
      <c r="A23" s="42" t="s">
        <v>73</v>
      </c>
      <c r="B23" s="43">
        <v>90</v>
      </c>
      <c r="C23" t="s">
        <v>74</v>
      </c>
    </row>
    <row r="24" spans="1:7" x14ac:dyDescent="0.15">
      <c r="A24" s="42" t="s">
        <v>75</v>
      </c>
      <c r="B24" s="43">
        <v>50</v>
      </c>
      <c r="C24" t="s">
        <v>74</v>
      </c>
      <c r="D24">
        <f>B24*PI()/180</f>
        <v>0.87266462599716477</v>
      </c>
    </row>
    <row r="26" spans="1:7" x14ac:dyDescent="0.15">
      <c r="A26" s="42" t="s">
        <v>40</v>
      </c>
      <c r="B26">
        <f>B23*PI()/180</f>
        <v>1.5707963267948966</v>
      </c>
      <c r="D26" s="15" t="s">
        <v>76</v>
      </c>
      <c r="E26" s="44">
        <f>Ellip_F(B26,B27)</f>
        <v>1.9355810960047202</v>
      </c>
    </row>
    <row r="27" spans="1:7" x14ac:dyDescent="0.15">
      <c r="A27" s="8" t="s">
        <v>32</v>
      </c>
      <c r="B27">
        <f>SIN(B24*PI()/180)</f>
        <v>0.76604444311897801</v>
      </c>
      <c r="D27" s="15" t="s">
        <v>77</v>
      </c>
      <c r="E27" s="44">
        <f>Ellip_E(B26,B27)</f>
        <v>1.3055390942977927</v>
      </c>
    </row>
    <row r="30" spans="1:7" x14ac:dyDescent="0.15">
      <c r="A30" s="41" t="s">
        <v>78</v>
      </c>
    </row>
    <row r="31" spans="1:7" x14ac:dyDescent="0.15">
      <c r="A31" s="41" t="s">
        <v>79</v>
      </c>
    </row>
    <row r="32" spans="1:7" x14ac:dyDescent="0.15">
      <c r="A32" t="s">
        <v>80</v>
      </c>
    </row>
    <row r="34" spans="9:13" x14ac:dyDescent="0.15">
      <c r="I34" s="45" t="s">
        <v>81</v>
      </c>
      <c r="J34" s="46"/>
      <c r="K34" s="46"/>
      <c r="L34" s="46"/>
      <c r="M34" s="46"/>
    </row>
    <row r="35" spans="9:13" x14ac:dyDescent="0.15">
      <c r="I35" s="47"/>
    </row>
  </sheetData>
  <phoneticPr fontId="0" type="noConversion"/>
  <hyperlinks>
    <hyperlink ref="I2" r:id="rId1" xr:uid="{00000000-0004-0000-0100-000000000000}"/>
  </hyperlinks>
  <pageMargins left="0.75" right="0.75" top="1" bottom="1" header="0.5" footer="0.5"/>
  <pageSetup orientation="portrait"/>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1]!EllipticIntegrals">
                <anchor moveWithCells="1" sizeWithCells="1">
                  <from>
                    <xdr:col>5</xdr:col>
                    <xdr:colOff>0</xdr:colOff>
                    <xdr:row>0</xdr:row>
                    <xdr:rowOff>0</xdr:rowOff>
                  </from>
                  <to>
                    <xdr:col>7</xdr:col>
                    <xdr:colOff>0</xdr:colOff>
                    <xdr:row>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Folhas de Cálculo</vt:lpstr>
      </vt:variant>
      <vt:variant>
        <vt:i4>2</vt:i4>
      </vt:variant>
      <vt:variant>
        <vt:lpstr>Intervalos com Nome</vt:lpstr>
      </vt:variant>
      <vt:variant>
        <vt:i4>17</vt:i4>
      </vt:variant>
    </vt:vector>
  </HeadingPairs>
  <TitlesOfParts>
    <vt:vector size="19" baseType="lpstr">
      <vt:lpstr>Pré-relatório</vt:lpstr>
      <vt:lpstr>EllipticAddIn</vt:lpstr>
      <vt:lpstr>__re1</vt:lpstr>
      <vt:lpstr>__ri1</vt:lpstr>
      <vt:lpstr>_R1_</vt:lpstr>
      <vt:lpstr>_re1</vt:lpstr>
      <vt:lpstr>_re2</vt:lpstr>
      <vt:lpstr>_ri1</vt:lpstr>
      <vt:lpstr>_ri2</vt:lpstr>
      <vt:lpstr>a_1</vt:lpstr>
      <vt:lpstr>a_2</vt:lpstr>
      <vt:lpstr>'Pré-relatório'!Área_de_Impressão</vt:lpstr>
      <vt:lpstr>c_1</vt:lpstr>
      <vt:lpstr>c_2</vt:lpstr>
      <vt:lpstr>meioPi</vt:lpstr>
      <vt:lpstr>mu0</vt:lpstr>
      <vt:lpstr>N_1</vt:lpstr>
      <vt:lpstr>N_2</vt:lpstr>
      <vt:lpstr>p</vt:lpstr>
    </vt:vector>
  </TitlesOfParts>
  <Manager/>
  <Company>Casa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Paulo Fonte</dc:creator>
  <cp:keywords/>
  <dc:description/>
  <cp:lastModifiedBy>Microsoft Office User</cp:lastModifiedBy>
  <cp:revision/>
  <dcterms:created xsi:type="dcterms:W3CDTF">2005-10-16T21:48:12Z</dcterms:created>
  <dcterms:modified xsi:type="dcterms:W3CDTF">2022-10-13T15:02:51Z</dcterms:modified>
  <cp:category/>
  <cp:contentStatus/>
</cp:coreProperties>
</file>